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2026 CRECIMIENTO FTTH_N24_AB_SATURADOS\ARCHIVOS GUIA\"/>
    </mc:Choice>
  </mc:AlternateContent>
  <bookViews>
    <workbookView xWindow="0" yWindow="0" windowWidth="24000" windowHeight="10320"/>
  </bookViews>
  <sheets>
    <sheet name="Sheet1" sheetId="1" r:id="rId1"/>
    <sheet name="Sheet2" sheetId="2" r:id="rId2"/>
  </sheets>
  <definedNames>
    <definedName name="_xlnm._FilterDatabase" localSheetId="0" hidden="1">Sheet1!$A$1:$K$60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4" i="1" l="1"/>
  <c r="H54" i="1"/>
  <c r="J54" i="1" s="1"/>
  <c r="I54" i="1"/>
  <c r="G55" i="1"/>
  <c r="H55" i="1"/>
  <c r="J55" i="1" s="1"/>
  <c r="I55" i="1"/>
  <c r="G56" i="1"/>
  <c r="H56" i="1"/>
  <c r="J56" i="1" s="1"/>
  <c r="I56" i="1"/>
  <c r="G57" i="1"/>
  <c r="H57" i="1"/>
  <c r="J57" i="1" s="1"/>
  <c r="I57" i="1"/>
  <c r="G58" i="1"/>
  <c r="H58" i="1"/>
  <c r="J58" i="1" s="1"/>
  <c r="I58" i="1"/>
  <c r="G59" i="1"/>
  <c r="H59" i="1"/>
  <c r="J59" i="1" s="1"/>
  <c r="I59" i="1"/>
  <c r="G60" i="1"/>
  <c r="H60" i="1"/>
  <c r="J60" i="1" s="1"/>
  <c r="I60" i="1"/>
  <c r="G15" i="1" l="1"/>
  <c r="H15" i="1"/>
  <c r="J15" i="1" s="1"/>
  <c r="I15" i="1"/>
  <c r="G16" i="1"/>
  <c r="H16" i="1"/>
  <c r="J16" i="1" s="1"/>
  <c r="I16" i="1"/>
  <c r="G17" i="1"/>
  <c r="H17" i="1"/>
  <c r="J17" i="1" s="1"/>
  <c r="I17" i="1"/>
  <c r="G18" i="1"/>
  <c r="H18" i="1"/>
  <c r="J18" i="1" s="1"/>
  <c r="I18" i="1"/>
  <c r="G19" i="1"/>
  <c r="H19" i="1"/>
  <c r="J19" i="1" s="1"/>
  <c r="I19" i="1"/>
  <c r="G20" i="1"/>
  <c r="H20" i="1"/>
  <c r="J20" i="1" s="1"/>
  <c r="I20" i="1"/>
  <c r="G21" i="1"/>
  <c r="H21" i="1"/>
  <c r="J21" i="1" s="1"/>
  <c r="I21" i="1"/>
  <c r="G22" i="1"/>
  <c r="H22" i="1"/>
  <c r="J22" i="1" s="1"/>
  <c r="I22" i="1"/>
  <c r="G23" i="1"/>
  <c r="H23" i="1"/>
  <c r="J23" i="1" s="1"/>
  <c r="I23" i="1"/>
  <c r="G24" i="1"/>
  <c r="H24" i="1"/>
  <c r="J24" i="1" s="1"/>
  <c r="I24" i="1"/>
  <c r="G25" i="1"/>
  <c r="H25" i="1"/>
  <c r="J25" i="1" s="1"/>
  <c r="I25" i="1"/>
  <c r="G26" i="1"/>
  <c r="H26" i="1"/>
  <c r="J26" i="1" s="1"/>
  <c r="I26" i="1"/>
  <c r="G27" i="1"/>
  <c r="H27" i="1"/>
  <c r="J27" i="1" s="1"/>
  <c r="I27" i="1"/>
  <c r="G28" i="1"/>
  <c r="H28" i="1"/>
  <c r="J28" i="1" s="1"/>
  <c r="I28" i="1"/>
  <c r="G29" i="1"/>
  <c r="H29" i="1"/>
  <c r="J29" i="1" s="1"/>
  <c r="I29" i="1"/>
  <c r="G30" i="1"/>
  <c r="H30" i="1"/>
  <c r="J30" i="1" s="1"/>
  <c r="I30" i="1"/>
  <c r="G31" i="1"/>
  <c r="H31" i="1"/>
  <c r="J31" i="1" s="1"/>
  <c r="I31" i="1"/>
  <c r="G32" i="1"/>
  <c r="H32" i="1"/>
  <c r="J32" i="1" s="1"/>
  <c r="I32" i="1"/>
  <c r="G33" i="1"/>
  <c r="H33" i="1"/>
  <c r="J33" i="1" s="1"/>
  <c r="I33" i="1"/>
  <c r="G34" i="1"/>
  <c r="H34" i="1"/>
  <c r="J34" i="1" s="1"/>
  <c r="I34" i="1"/>
  <c r="G35" i="1"/>
  <c r="H35" i="1"/>
  <c r="J35" i="1" s="1"/>
  <c r="I35" i="1"/>
  <c r="G36" i="1"/>
  <c r="H36" i="1"/>
  <c r="J36" i="1" s="1"/>
  <c r="I36" i="1"/>
  <c r="G37" i="1"/>
  <c r="H37" i="1"/>
  <c r="J37" i="1" s="1"/>
  <c r="I37" i="1"/>
  <c r="G38" i="1"/>
  <c r="H38" i="1"/>
  <c r="J38" i="1" s="1"/>
  <c r="I38" i="1"/>
  <c r="G39" i="1"/>
  <c r="H39" i="1"/>
  <c r="J39" i="1" s="1"/>
  <c r="I39" i="1"/>
  <c r="G40" i="1"/>
  <c r="H40" i="1"/>
  <c r="J40" i="1" s="1"/>
  <c r="I40" i="1"/>
  <c r="G41" i="1"/>
  <c r="H41" i="1"/>
  <c r="J41" i="1" s="1"/>
  <c r="I41" i="1"/>
  <c r="G42" i="1"/>
  <c r="H42" i="1"/>
  <c r="J42" i="1" s="1"/>
  <c r="I42" i="1"/>
  <c r="G43" i="1"/>
  <c r="H43" i="1"/>
  <c r="J43" i="1" s="1"/>
  <c r="I43" i="1"/>
  <c r="G44" i="1"/>
  <c r="H44" i="1"/>
  <c r="J44" i="1" s="1"/>
  <c r="I44" i="1"/>
  <c r="G45" i="1"/>
  <c r="H45" i="1"/>
  <c r="J45" i="1" s="1"/>
  <c r="I45" i="1"/>
  <c r="G46" i="1"/>
  <c r="H46" i="1"/>
  <c r="J46" i="1" s="1"/>
  <c r="I46" i="1"/>
  <c r="G47" i="1"/>
  <c r="H47" i="1"/>
  <c r="J47" i="1" s="1"/>
  <c r="I47" i="1"/>
  <c r="G48" i="1"/>
  <c r="H48" i="1"/>
  <c r="J48" i="1" s="1"/>
  <c r="I48" i="1"/>
  <c r="G49" i="1"/>
  <c r="H49" i="1"/>
  <c r="J49" i="1" s="1"/>
  <c r="I49" i="1"/>
  <c r="G50" i="1"/>
  <c r="H50" i="1"/>
  <c r="J50" i="1" s="1"/>
  <c r="I50" i="1"/>
  <c r="G51" i="1"/>
  <c r="H51" i="1"/>
  <c r="J51" i="1" s="1"/>
  <c r="I51" i="1"/>
  <c r="G52" i="1"/>
  <c r="H52" i="1"/>
  <c r="J52" i="1" s="1"/>
  <c r="I52" i="1"/>
  <c r="G53" i="1"/>
  <c r="H53" i="1"/>
  <c r="J53" i="1" s="1"/>
  <c r="I53" i="1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G2" i="1" l="1"/>
  <c r="H14" i="1" l="1"/>
  <c r="J14" i="1" s="1"/>
  <c r="G14" i="1"/>
  <c r="H13" i="1"/>
  <c r="J13" i="1" s="1"/>
  <c r="G13" i="1"/>
  <c r="H12" i="1"/>
  <c r="J12" i="1" s="1"/>
  <c r="G12" i="1"/>
  <c r="H11" i="1"/>
  <c r="J11" i="1" s="1"/>
  <c r="G11" i="1"/>
  <c r="H10" i="1"/>
  <c r="J10" i="1" s="1"/>
  <c r="G10" i="1"/>
  <c r="H9" i="1"/>
  <c r="J9" i="1" s="1"/>
  <c r="G9" i="1"/>
  <c r="H8" i="1"/>
  <c r="J8" i="1" s="1"/>
  <c r="G8" i="1"/>
  <c r="H7" i="1"/>
  <c r="J7" i="1" s="1"/>
  <c r="G7" i="1"/>
  <c r="H6" i="1"/>
  <c r="J6" i="1" s="1"/>
  <c r="G6" i="1"/>
  <c r="H4" i="1"/>
  <c r="G4" i="1"/>
  <c r="H3" i="1"/>
  <c r="J3" i="1" s="1"/>
  <c r="G3" i="1"/>
  <c r="H2" i="1"/>
  <c r="J4" i="1" l="1"/>
  <c r="J2" i="1"/>
  <c r="H5" i="1"/>
  <c r="J5" i="1" s="1"/>
  <c r="G5" i="1"/>
</calcChain>
</file>

<file path=xl/sharedStrings.xml><?xml version="1.0" encoding="utf-8"?>
<sst xmlns="http://schemas.openxmlformats.org/spreadsheetml/2006/main" count="796" uniqueCount="199">
  <si>
    <t>PROG</t>
  </si>
  <si>
    <t>SGS</t>
  </si>
  <si>
    <t>DIST</t>
  </si>
  <si>
    <t>PTOS</t>
  </si>
  <si>
    <t>Pon</t>
  </si>
  <si>
    <t>Terminal</t>
  </si>
  <si>
    <t>N24</t>
  </si>
  <si>
    <t>A1</t>
  </si>
  <si>
    <t>CAR0005</t>
  </si>
  <si>
    <t>DEB0007</t>
  </si>
  <si>
    <t>RDM0001</t>
  </si>
  <si>
    <t>G1-2</t>
  </si>
  <si>
    <t>VCE0012</t>
  </si>
  <si>
    <t>E3</t>
  </si>
  <si>
    <t>VIR0009</t>
  </si>
  <si>
    <t>B1</t>
  </si>
  <si>
    <t>Exist</t>
  </si>
  <si>
    <t>A9</t>
  </si>
  <si>
    <t>C9</t>
  </si>
  <si>
    <t>B9</t>
  </si>
  <si>
    <t>BA</t>
  </si>
  <si>
    <t>CA</t>
  </si>
  <si>
    <t>MAB0008</t>
  </si>
  <si>
    <t>PUL0016</t>
  </si>
  <si>
    <t>AA</t>
  </si>
  <si>
    <t>GENERICO</t>
  </si>
  <si>
    <t>PROGRAMA</t>
  </si>
  <si>
    <t>Prioridad etapa</t>
  </si>
  <si>
    <t>SEM PROG</t>
  </si>
  <si>
    <t>DISTRITO</t>
  </si>
  <si>
    <t>PRIORIDAD</t>
  </si>
  <si>
    <t>Puertos Construidos</t>
  </si>
  <si>
    <t>ZONA COMERCIAL</t>
  </si>
  <si>
    <t>COPE</t>
  </si>
  <si>
    <t>LOCALIDAD</t>
  </si>
  <si>
    <t>FECHA PROG</t>
  </si>
  <si>
    <t>VECES RE-AGENDADO</t>
  </si>
  <si>
    <t>FECHA PES</t>
  </si>
  <si>
    <t>ETAPA SGS ACTUALIZADO</t>
  </si>
  <si>
    <t>7. OTROS</t>
  </si>
  <si>
    <t>ENSENADA</t>
  </si>
  <si>
    <t>Ensenada</t>
  </si>
  <si>
    <t>PLAYAS</t>
  </si>
  <si>
    <t>Rosarito</t>
  </si>
  <si>
    <t>ROSARITO</t>
  </si>
  <si>
    <t>SLRC</t>
  </si>
  <si>
    <t>San Luis</t>
  </si>
  <si>
    <t>PONIENTE</t>
  </si>
  <si>
    <t>Pioneros</t>
  </si>
  <si>
    <t>MEXICALI</t>
  </si>
  <si>
    <t>Playas</t>
  </si>
  <si>
    <t>TIJUANA</t>
  </si>
  <si>
    <t>GPON 2 TIPEC Construye planta externa (principal y secundario)</t>
  </si>
  <si>
    <t>ORIENTE</t>
  </si>
  <si>
    <t>Periférico</t>
  </si>
  <si>
    <t>FTTH 2 MXL Proveedor local construye</t>
  </si>
  <si>
    <t>COLORADO</t>
  </si>
  <si>
    <t>Seminario</t>
  </si>
  <si>
    <t>B X DISTRITO</t>
  </si>
  <si>
    <t>BUSCA X SGS</t>
  </si>
  <si>
    <t>Acometida 2025</t>
  </si>
  <si>
    <t>COM X SGS</t>
  </si>
  <si>
    <t>REGISTRO</t>
  </si>
  <si>
    <t>OK PUENTES</t>
  </si>
  <si>
    <t>letra2</t>
  </si>
  <si>
    <t>FTTH 2 TIJ Proveedor local construye</t>
  </si>
  <si>
    <t>PUENTES</t>
  </si>
  <si>
    <t>Comentarios</t>
  </si>
  <si>
    <t>PENDIENTE SGS</t>
  </si>
  <si>
    <t>FTTH 4 CCR Registra y Libera Terminales</t>
  </si>
  <si>
    <t>E9</t>
  </si>
  <si>
    <t>VALLE DE MEXICALI</t>
  </si>
  <si>
    <t>Nuevo</t>
  </si>
  <si>
    <t>BAN0005</t>
  </si>
  <si>
    <t>HAR0038</t>
  </si>
  <si>
    <t>F7-8</t>
  </si>
  <si>
    <t>C5</t>
  </si>
  <si>
    <t>E8</t>
  </si>
  <si>
    <t>SAN0002</t>
  </si>
  <si>
    <t>A3</t>
  </si>
  <si>
    <t>C6</t>
  </si>
  <si>
    <t>D8</t>
  </si>
  <si>
    <t>CUA0016</t>
  </si>
  <si>
    <t>Terminales</t>
  </si>
  <si>
    <t>DEP0072</t>
  </si>
  <si>
    <t>D9</t>
  </si>
  <si>
    <t>Industrial</t>
  </si>
  <si>
    <t>CENTRO</t>
  </si>
  <si>
    <t>Calle 10</t>
  </si>
  <si>
    <t>C5-6</t>
  </si>
  <si>
    <t>COL0007</t>
  </si>
  <si>
    <t>D2</t>
  </si>
  <si>
    <t>A8</t>
  </si>
  <si>
    <t>SAN QUINTIN</t>
  </si>
  <si>
    <t>TECATE</t>
  </si>
  <si>
    <t>RUF0029</t>
  </si>
  <si>
    <t>GPON 5 TIEA Ejecuta puentes GPON</t>
  </si>
  <si>
    <t>SIN0001</t>
  </si>
  <si>
    <t>MUR0035</t>
  </si>
  <si>
    <t>E4</t>
  </si>
  <si>
    <t>MIN0001</t>
  </si>
  <si>
    <t>J4</t>
  </si>
  <si>
    <t>CAP0006</t>
  </si>
  <si>
    <t>CAL0016</t>
  </si>
  <si>
    <t>A2-4</t>
  </si>
  <si>
    <t>DEP0093</t>
  </si>
  <si>
    <t>A1-2</t>
  </si>
  <si>
    <t>PUC0003</t>
  </si>
  <si>
    <t>E1</t>
  </si>
  <si>
    <t>VER0001</t>
  </si>
  <si>
    <t>BAH0006</t>
  </si>
  <si>
    <t>CAM0003</t>
  </si>
  <si>
    <t>B5</t>
  </si>
  <si>
    <t>CAM0008</t>
  </si>
  <si>
    <t>COL0026</t>
  </si>
  <si>
    <t>CUA0022</t>
  </si>
  <si>
    <t>DEB0015</t>
  </si>
  <si>
    <t>EA</t>
  </si>
  <si>
    <t>DEB0016</t>
  </si>
  <si>
    <t>DEP0022</t>
  </si>
  <si>
    <t>DEP0040</t>
  </si>
  <si>
    <t>DEP0052</t>
  </si>
  <si>
    <t>DEP0066</t>
  </si>
  <si>
    <t>B7-9</t>
  </si>
  <si>
    <t>DEP0090</t>
  </si>
  <si>
    <t>FRA0002</t>
  </si>
  <si>
    <t>H7</t>
  </si>
  <si>
    <t>H8</t>
  </si>
  <si>
    <t>HID0035</t>
  </si>
  <si>
    <t>HRO0001</t>
  </si>
  <si>
    <t>L9</t>
  </si>
  <si>
    <t>LBS0004</t>
  </si>
  <si>
    <t>LBS0009</t>
  </si>
  <si>
    <t>LBS0011</t>
  </si>
  <si>
    <t>F9</t>
  </si>
  <si>
    <t>MAN0018</t>
  </si>
  <si>
    <t>D7</t>
  </si>
  <si>
    <t>MAN0033</t>
  </si>
  <si>
    <t>MUR0013</t>
  </si>
  <si>
    <t>ACOM</t>
  </si>
  <si>
    <t>OJA0003</t>
  </si>
  <si>
    <t>OJA0004</t>
  </si>
  <si>
    <t>PAR0005</t>
  </si>
  <si>
    <t>POO0021</t>
  </si>
  <si>
    <t>F4</t>
  </si>
  <si>
    <t>F5</t>
  </si>
  <si>
    <t>POT0016</t>
  </si>
  <si>
    <t>QUI0004</t>
  </si>
  <si>
    <t>RSD0002</t>
  </si>
  <si>
    <t>RUF0011</t>
  </si>
  <si>
    <t>RUF0024</t>
  </si>
  <si>
    <t>RUF0047</t>
  </si>
  <si>
    <t>C8</t>
  </si>
  <si>
    <t>SVE0001</t>
  </si>
  <si>
    <t>SXX0021</t>
  </si>
  <si>
    <t>D4</t>
  </si>
  <si>
    <t>VAV0004</t>
  </si>
  <si>
    <t>VAV0007</t>
  </si>
  <si>
    <t>VAV0015</t>
  </si>
  <si>
    <t>C9-A</t>
  </si>
  <si>
    <t>VCE0026</t>
  </si>
  <si>
    <t>J9</t>
  </si>
  <si>
    <t>VIG0013</t>
  </si>
  <si>
    <t>D6</t>
  </si>
  <si>
    <t>FTTH 4 ICRA Complementa o aclara informaciÃ³n</t>
  </si>
  <si>
    <t>GPON 5 CM-MXL Prueba de correspondencia</t>
  </si>
  <si>
    <t>FTTH 2 ENS Proveedor local construye</t>
  </si>
  <si>
    <t>FRA0017</t>
  </si>
  <si>
    <t>D1</t>
  </si>
  <si>
    <t>ALA0021</t>
  </si>
  <si>
    <t>D3, FA</t>
  </si>
  <si>
    <t>K4</t>
  </si>
  <si>
    <t>CLE0003</t>
  </si>
  <si>
    <t>CON0006</t>
  </si>
  <si>
    <t>F7</t>
  </si>
  <si>
    <t>FLO0027</t>
  </si>
  <si>
    <t>C4</t>
  </si>
  <si>
    <t>LOM0068</t>
  </si>
  <si>
    <t>DA</t>
  </si>
  <si>
    <t>MAG0015</t>
  </si>
  <si>
    <t>MAN0011</t>
  </si>
  <si>
    <t>MAR0001</t>
  </si>
  <si>
    <t>OBR0016</t>
  </si>
  <si>
    <t>POO0003</t>
  </si>
  <si>
    <t>C9,DA</t>
  </si>
  <si>
    <t>POO0004</t>
  </si>
  <si>
    <t>SAL0001</t>
  </si>
  <si>
    <t>VEC0003</t>
  </si>
  <si>
    <t>E6</t>
  </si>
  <si>
    <t>FRI0034</t>
  </si>
  <si>
    <t>D3</t>
  </si>
  <si>
    <t>FastTrack</t>
  </si>
  <si>
    <t>GPON 5 COPE RecepciÃ³n COPE (TIJ)</t>
  </si>
  <si>
    <t>GPON 3 TIPEP Asigna informaciÃ³n PE en FRIDA</t>
  </si>
  <si>
    <t>FTTH 4a CCR Apertura de red fastrack (sin desviaciÃ³n TIJ)</t>
  </si>
  <si>
    <t>13/01/2026 Se repara la fibra, requiere cambio de fibra en proyectos 30/12/2025 Afectación en PRL reparandose por COPE</t>
  </si>
  <si>
    <t>no reg</t>
  </si>
  <si>
    <t>sgs</t>
  </si>
  <si>
    <t>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</si>
</sst>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hair">
        <color theme="3"/>
      </left>
      <right style="hair">
        <color theme="3"/>
      </right>
      <top style="thin">
        <color theme="4"/>
      </top>
      <bottom style="hair">
        <color theme="3"/>
      </bottom>
      <diagonal/>
    </border>
    <border>
      <left style="hair">
        <color theme="3"/>
      </left>
      <right style="hair">
        <color theme="3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4" xfId="0" applyFont="1" applyBorder="1"/>
    <xf numFmtId="0" fontId="2" fillId="0" borderId="4" xfId="0" applyFont="1" applyBorder="1"/>
    <xf numFmtId="0" fontId="0" fillId="0" borderId="5" xfId="0" applyNumberFormat="1" applyFont="1" applyBorder="1"/>
    <xf numFmtId="0" fontId="2" fillId="0" borderId="5" xfId="0" applyNumberFormat="1" applyFont="1" applyBorder="1" applyAlignment="1">
      <alignment horizontal="left"/>
    </xf>
    <xf numFmtId="0" fontId="2" fillId="5" borderId="5" xfId="0" applyNumberFormat="1" applyFont="1" applyFill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0" fillId="0" borderId="5" xfId="0" applyNumberFormat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5" xfId="0" applyFont="1" applyBorder="1"/>
    <xf numFmtId="14" fontId="0" fillId="0" borderId="5" xfId="0" applyNumberFormat="1" applyFont="1" applyBorder="1" applyAlignment="1">
      <alignment horizontal="center"/>
    </xf>
    <xf numFmtId="0" fontId="0" fillId="0" borderId="6" xfId="0" applyNumberFormat="1" applyFont="1" applyBorder="1" applyAlignment="1">
      <alignment horizontal="center"/>
    </xf>
    <xf numFmtId="0" fontId="2" fillId="0" borderId="5" xfId="0" applyFont="1" applyBorder="1"/>
    <xf numFmtId="0" fontId="6" fillId="6" borderId="7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" fillId="7" borderId="0" xfId="0" applyFont="1" applyFill="1"/>
    <xf numFmtId="0" fontId="2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/>
    <xf numFmtId="0" fontId="2" fillId="0" borderId="5" xfId="0" applyNumberFormat="1" applyFont="1" applyBorder="1" applyAlignment="1">
      <alignment horizontal="center"/>
    </xf>
    <xf numFmtId="3" fontId="0" fillId="0" borderId="5" xfId="0" applyNumberFormat="1" applyFont="1" applyBorder="1" applyAlignment="1">
      <alignment horizontal="center"/>
    </xf>
    <xf numFmtId="0" fontId="1" fillId="0" borderId="4" xfId="0" applyFont="1" applyBorder="1"/>
    <xf numFmtId="14" fontId="0" fillId="0" borderId="3" xfId="0" applyNumberFormat="1" applyFont="1" applyBorder="1" applyAlignment="1">
      <alignment horizontal="center"/>
    </xf>
    <xf numFmtId="16" fontId="0" fillId="0" borderId="3" xfId="0" applyNumberFormat="1" applyFont="1" applyBorder="1"/>
    <xf numFmtId="16" fontId="0" fillId="0" borderId="5" xfId="0" applyNumberFormat="1" applyFont="1" applyBorder="1"/>
    <xf numFmtId="3" fontId="0" fillId="0" borderId="3" xfId="0" applyNumberFormat="1" applyFont="1" applyBorder="1" applyAlignment="1">
      <alignment horizontal="center"/>
    </xf>
    <xf numFmtId="16" fontId="0" fillId="0" borderId="6" xfId="0" applyNumberFormat="1" applyFont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/>
    <xf numFmtId="0" fontId="2" fillId="0" borderId="1" xfId="0" applyNumberFormat="1" applyFont="1" applyBorder="1" applyAlignment="1">
      <alignment horizontal="center"/>
    </xf>
    <xf numFmtId="0" fontId="7" fillId="0" borderId="5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NumberFormat="1" applyFont="1" applyBorder="1" applyAlignment="1">
      <alignment horizontal="center" wrapText="1"/>
    </xf>
    <xf numFmtId="0" fontId="9" fillId="0" borderId="4" xfId="0" applyFont="1" applyBorder="1"/>
    <xf numFmtId="3" fontId="2" fillId="0" borderId="5" xfId="0" applyNumberFormat="1" applyFont="1" applyBorder="1" applyAlignment="1">
      <alignment horizontal="center"/>
    </xf>
    <xf numFmtId="14" fontId="0" fillId="0" borderId="6" xfId="0" applyNumberFormat="1" applyFont="1" applyBorder="1" applyAlignment="1">
      <alignment horizontal="center"/>
    </xf>
    <xf numFmtId="0" fontId="4" fillId="4" borderId="3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184">
    <dxf>
      <font>
        <b/>
        <i val="0"/>
      </font>
      <fill>
        <patternFill>
          <bgColor rgb="FFFFFF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00B05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00B050"/>
      </font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275352</xdr:colOff>
      <xdr:row>18</xdr:row>
      <xdr:rowOff>47190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80952" cy="34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gs.intranet.rednoroeste.com/serproveedoratender.php?cve=2359612" TargetMode="External"/><Relationship Id="rId3" Type="http://schemas.openxmlformats.org/officeDocument/2006/relationships/hyperlink" Target="https://sgs.intranet.rednoroeste.com/serproveedoratender.php?cve=2359622" TargetMode="External"/><Relationship Id="rId7" Type="http://schemas.openxmlformats.org/officeDocument/2006/relationships/hyperlink" Target="https://sgs.intranet.rednoroeste.com/serproveedoratender.php?cve=2359608" TargetMode="External"/><Relationship Id="rId2" Type="http://schemas.openxmlformats.org/officeDocument/2006/relationships/hyperlink" Target="https://sgs.intranet.rednoroeste.com/serproveedoratender.php?cve=2359218" TargetMode="External"/><Relationship Id="rId1" Type="http://schemas.openxmlformats.org/officeDocument/2006/relationships/hyperlink" Target="https://sgs.intranet.rednoroeste.com/serproveedoratender.php?cve=2359625" TargetMode="External"/><Relationship Id="rId6" Type="http://schemas.openxmlformats.org/officeDocument/2006/relationships/hyperlink" Target="https://sgs.intranet.rednoroeste.com/serproveedoratender.php?cve=2359615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sgs.intranet.rednoroeste.com/serproveedoratender.php?cve=2350072" TargetMode="External"/><Relationship Id="rId10" Type="http://schemas.openxmlformats.org/officeDocument/2006/relationships/hyperlink" Target="https://sgs.intranet.rednoroeste.com/serproveedoratender.php?cve=2359602" TargetMode="External"/><Relationship Id="rId4" Type="http://schemas.openxmlformats.org/officeDocument/2006/relationships/hyperlink" Target="https://sgs.intranet.rednoroeste.com/serproveedoratender.php?cve=2359619" TargetMode="External"/><Relationship Id="rId9" Type="http://schemas.openxmlformats.org/officeDocument/2006/relationships/hyperlink" Target="https://sgs.intranet.rednoroeste.com/serproveedoratender.php?cve=235960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E852"/>
  <sheetViews>
    <sheetView tabSelected="1" workbookViewId="0">
      <selection activeCell="D3" sqref="D3:D60"/>
    </sheetView>
  </sheetViews>
  <sheetFormatPr defaultRowHeight="15" x14ac:dyDescent="0.25"/>
  <cols>
    <col min="7" max="7" width="17" bestFit="1" customWidth="1"/>
    <col min="8" max="8" width="16.7109375" bestFit="1" customWidth="1"/>
    <col min="9" max="9" width="16.7109375" customWidth="1"/>
    <col min="10" max="10" width="15.42578125" bestFit="1" customWidth="1"/>
    <col min="13" max="13" width="9" bestFit="1" customWidth="1"/>
    <col min="14" max="14" width="15.140625" bestFit="1" customWidth="1"/>
    <col min="17" max="17" width="9.42578125" bestFit="1" customWidth="1"/>
    <col min="18" max="18" width="8" bestFit="1" customWidth="1"/>
    <col min="19" max="19" width="8.42578125" bestFit="1" customWidth="1"/>
    <col min="20" max="20" width="8.85546875" bestFit="1" customWidth="1"/>
    <col min="21" max="21" width="8.5703125" bestFit="1" customWidth="1"/>
    <col min="22" max="22" width="11" bestFit="1" customWidth="1"/>
    <col min="23" max="23" width="10" bestFit="1" customWidth="1"/>
    <col min="24" max="24" width="18" bestFit="1" customWidth="1"/>
    <col min="25" max="25" width="10.7109375" bestFit="1" customWidth="1"/>
    <col min="26" max="26" width="8.85546875" bestFit="1" customWidth="1"/>
    <col min="27" max="27" width="10.7109375" bestFit="1" customWidth="1"/>
    <col min="28" max="28" width="58.42578125" bestFit="1" customWidth="1"/>
    <col min="29" max="29" width="12" bestFit="1" customWidth="1"/>
    <col min="30" max="30" width="12.42578125" bestFit="1" customWidth="1"/>
  </cols>
  <sheetData>
    <row r="1" spans="1:31" ht="38.25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1" t="s">
        <v>59</v>
      </c>
      <c r="H1" s="1" t="s">
        <v>58</v>
      </c>
      <c r="I1" s="1" t="s">
        <v>64</v>
      </c>
      <c r="J1" s="1" t="s">
        <v>61</v>
      </c>
      <c r="K1" s="1" t="s">
        <v>62</v>
      </c>
      <c r="M1" s="2" t="s">
        <v>25</v>
      </c>
      <c r="N1" s="2" t="s">
        <v>26</v>
      </c>
      <c r="O1" s="3" t="s">
        <v>27</v>
      </c>
      <c r="P1" s="4" t="s">
        <v>28</v>
      </c>
      <c r="Q1" s="5" t="s">
        <v>29</v>
      </c>
      <c r="R1" s="5" t="s">
        <v>1</v>
      </c>
      <c r="S1" s="6" t="s">
        <v>30</v>
      </c>
      <c r="T1" s="5" t="s">
        <v>83</v>
      </c>
      <c r="U1" s="5" t="s">
        <v>31</v>
      </c>
      <c r="V1" s="7" t="s">
        <v>32</v>
      </c>
      <c r="W1" s="7" t="s">
        <v>33</v>
      </c>
      <c r="X1" s="7" t="s">
        <v>34</v>
      </c>
      <c r="Y1" s="7" t="s">
        <v>35</v>
      </c>
      <c r="Z1" s="7" t="s">
        <v>36</v>
      </c>
      <c r="AA1" s="7" t="s">
        <v>37</v>
      </c>
      <c r="AB1" s="8" t="s">
        <v>38</v>
      </c>
      <c r="AC1" s="7" t="s">
        <v>66</v>
      </c>
      <c r="AD1" s="47" t="s">
        <v>191</v>
      </c>
      <c r="AE1" s="21" t="s">
        <v>67</v>
      </c>
    </row>
    <row r="2" spans="1:31" hidden="1" x14ac:dyDescent="0.25">
      <c r="A2" s="26" t="s">
        <v>6</v>
      </c>
      <c r="B2" s="26">
        <v>2357885</v>
      </c>
      <c r="C2" s="26" t="s">
        <v>105</v>
      </c>
      <c r="D2" s="26">
        <v>8</v>
      </c>
      <c r="E2" s="26" t="s">
        <v>72</v>
      </c>
      <c r="F2" s="26" t="s">
        <v>106</v>
      </c>
      <c r="G2" t="str">
        <f t="shared" ref="G2:G14" si="0">VLOOKUP(B2,R:U,3,0)</f>
        <v>A1-2</v>
      </c>
      <c r="H2">
        <f t="shared" ref="H2:H14" si="1">VLOOKUP(C2,Q:R,2,0)</f>
        <v>2357885</v>
      </c>
      <c r="I2" t="str">
        <f t="shared" ref="I2:I14" si="2">VLOOKUP(C2,Q:T,4,0)</f>
        <v>A1-2</v>
      </c>
      <c r="J2" t="str">
        <f t="shared" ref="J2:J14" si="3">IF(H2=B2,"SI","NO ES IGUAL")</f>
        <v>SI</v>
      </c>
      <c r="K2" t="s">
        <v>196</v>
      </c>
      <c r="M2" s="9" t="s">
        <v>39</v>
      </c>
      <c r="N2" s="10" t="s">
        <v>6</v>
      </c>
      <c r="O2" s="11">
        <v>2</v>
      </c>
      <c r="P2" s="12">
        <v>5</v>
      </c>
      <c r="Q2" s="27" t="s">
        <v>23</v>
      </c>
      <c r="R2" s="14">
        <v>2353601</v>
      </c>
      <c r="S2" s="45"/>
      <c r="T2" s="15" t="s">
        <v>20</v>
      </c>
      <c r="U2" s="16">
        <v>8</v>
      </c>
      <c r="V2" s="17" t="s">
        <v>53</v>
      </c>
      <c r="W2" s="17" t="s">
        <v>54</v>
      </c>
      <c r="X2" s="11" t="s">
        <v>49</v>
      </c>
      <c r="Y2" s="18">
        <v>45995</v>
      </c>
      <c r="Z2" s="19">
        <v>4</v>
      </c>
      <c r="AA2" s="18"/>
      <c r="AB2" s="20" t="s">
        <v>55</v>
      </c>
      <c r="AC2" s="10" t="s">
        <v>16</v>
      </c>
      <c r="AD2" s="24"/>
      <c r="AE2" s="9"/>
    </row>
    <row r="3" spans="1:31" x14ac:dyDescent="0.25">
      <c r="A3" s="26" t="s">
        <v>139</v>
      </c>
      <c r="B3" s="26">
        <v>2357174</v>
      </c>
      <c r="C3" s="26" t="s">
        <v>167</v>
      </c>
      <c r="D3" s="26">
        <v>8</v>
      </c>
      <c r="E3" s="26" t="s">
        <v>72</v>
      </c>
      <c r="F3" s="26" t="s">
        <v>168</v>
      </c>
      <c r="G3" t="e">
        <f t="shared" si="0"/>
        <v>#N/A</v>
      </c>
      <c r="H3" t="e">
        <f t="shared" si="1"/>
        <v>#N/A</v>
      </c>
      <c r="I3" t="e">
        <f t="shared" si="2"/>
        <v>#N/A</v>
      </c>
      <c r="J3" s="26" t="e">
        <f t="shared" si="3"/>
        <v>#N/A</v>
      </c>
      <c r="M3" s="9" t="s">
        <v>39</v>
      </c>
      <c r="N3" s="10" t="s">
        <v>6</v>
      </c>
      <c r="O3" s="11">
        <v>2</v>
      </c>
      <c r="P3" s="12">
        <v>5</v>
      </c>
      <c r="Q3" s="27" t="s">
        <v>22</v>
      </c>
      <c r="R3" s="14">
        <v>2357268</v>
      </c>
      <c r="S3" s="45"/>
      <c r="T3" s="15" t="s">
        <v>21</v>
      </c>
      <c r="U3" s="16">
        <v>8</v>
      </c>
      <c r="V3" s="17" t="s">
        <v>42</v>
      </c>
      <c r="W3" s="17" t="s">
        <v>43</v>
      </c>
      <c r="X3" s="11" t="s">
        <v>44</v>
      </c>
      <c r="Y3" s="18">
        <v>46014</v>
      </c>
      <c r="Z3" s="19">
        <v>4</v>
      </c>
      <c r="AA3" s="18"/>
      <c r="AB3" s="20" t="s">
        <v>65</v>
      </c>
      <c r="AC3" s="10" t="s">
        <v>16</v>
      </c>
      <c r="AD3" s="24"/>
      <c r="AE3" s="9"/>
    </row>
    <row r="4" spans="1:31" hidden="1" x14ac:dyDescent="0.25">
      <c r="A4" s="26" t="s">
        <v>6</v>
      </c>
      <c r="B4" s="26">
        <v>2361285</v>
      </c>
      <c r="C4" s="26" t="s">
        <v>107</v>
      </c>
      <c r="D4" s="26">
        <v>8</v>
      </c>
      <c r="E4" s="26" t="s">
        <v>72</v>
      </c>
      <c r="F4" s="26" t="s">
        <v>108</v>
      </c>
      <c r="G4" t="str">
        <f t="shared" si="0"/>
        <v>E1</v>
      </c>
      <c r="H4">
        <f t="shared" si="1"/>
        <v>2361285</v>
      </c>
      <c r="I4" t="str">
        <f t="shared" si="2"/>
        <v>E1</v>
      </c>
      <c r="J4" s="26" t="str">
        <f t="shared" si="3"/>
        <v>SI</v>
      </c>
      <c r="K4" s="26" t="s">
        <v>196</v>
      </c>
      <c r="M4" s="9" t="s">
        <v>39</v>
      </c>
      <c r="N4" s="10" t="s">
        <v>6</v>
      </c>
      <c r="O4" s="11">
        <v>7</v>
      </c>
      <c r="P4" s="12">
        <v>5</v>
      </c>
      <c r="Q4" s="13" t="s">
        <v>78</v>
      </c>
      <c r="R4" s="14">
        <v>2361506</v>
      </c>
      <c r="S4" s="45"/>
      <c r="T4" s="15" t="s">
        <v>79</v>
      </c>
      <c r="U4" s="16">
        <v>8</v>
      </c>
      <c r="V4" s="17" t="s">
        <v>53</v>
      </c>
      <c r="W4" s="17" t="s">
        <v>54</v>
      </c>
      <c r="X4" s="11" t="s">
        <v>71</v>
      </c>
      <c r="Y4" s="18">
        <v>46042</v>
      </c>
      <c r="Z4" s="19">
        <v>1</v>
      </c>
      <c r="AA4" s="18"/>
      <c r="AB4" s="20" t="s">
        <v>164</v>
      </c>
      <c r="AC4" s="10" t="s">
        <v>16</v>
      </c>
      <c r="AD4" s="25"/>
      <c r="AE4" s="9"/>
    </row>
    <row r="5" spans="1:31" hidden="1" x14ac:dyDescent="0.25">
      <c r="A5" s="26" t="s">
        <v>6</v>
      </c>
      <c r="B5" s="26">
        <v>2359520</v>
      </c>
      <c r="C5" s="26" t="s">
        <v>109</v>
      </c>
      <c r="D5" s="26">
        <v>8</v>
      </c>
      <c r="E5" s="26" t="s">
        <v>72</v>
      </c>
      <c r="F5" s="26" t="s">
        <v>15</v>
      </c>
      <c r="G5" t="str">
        <f t="shared" si="0"/>
        <v>B1</v>
      </c>
      <c r="H5">
        <f t="shared" si="1"/>
        <v>2359520</v>
      </c>
      <c r="I5" t="str">
        <f t="shared" si="2"/>
        <v>B1</v>
      </c>
      <c r="J5" s="26" t="str">
        <f t="shared" si="3"/>
        <v>SI</v>
      </c>
      <c r="K5" s="26" t="s">
        <v>196</v>
      </c>
      <c r="M5" s="9" t="s">
        <v>39</v>
      </c>
      <c r="N5" s="10" t="s">
        <v>6</v>
      </c>
      <c r="O5" s="11">
        <v>1.7</v>
      </c>
      <c r="P5" s="12">
        <v>5</v>
      </c>
      <c r="Q5" s="27" t="s">
        <v>8</v>
      </c>
      <c r="R5" s="14">
        <v>2353590</v>
      </c>
      <c r="S5" s="45"/>
      <c r="T5" s="15" t="s">
        <v>7</v>
      </c>
      <c r="U5" s="16">
        <v>8</v>
      </c>
      <c r="V5" s="17" t="s">
        <v>53</v>
      </c>
      <c r="W5" s="17" t="s">
        <v>54</v>
      </c>
      <c r="X5" s="11" t="s">
        <v>49</v>
      </c>
      <c r="Y5" s="18">
        <v>45999</v>
      </c>
      <c r="Z5" s="19">
        <v>4</v>
      </c>
      <c r="AA5" s="18"/>
      <c r="AB5" s="20" t="s">
        <v>165</v>
      </c>
      <c r="AC5" s="10" t="s">
        <v>63</v>
      </c>
      <c r="AD5" s="24"/>
      <c r="AE5" s="9"/>
    </row>
    <row r="6" spans="1:31" x14ac:dyDescent="0.25">
      <c r="A6" s="26" t="s">
        <v>6</v>
      </c>
      <c r="B6" s="26"/>
      <c r="C6" s="26" t="s">
        <v>169</v>
      </c>
      <c r="D6" s="26">
        <v>16</v>
      </c>
      <c r="E6" s="26" t="s">
        <v>16</v>
      </c>
      <c r="F6" s="26" t="s">
        <v>170</v>
      </c>
      <c r="G6" t="e">
        <f t="shared" si="0"/>
        <v>#N/A</v>
      </c>
      <c r="H6" t="e">
        <f t="shared" si="1"/>
        <v>#N/A</v>
      </c>
      <c r="I6" s="26" t="e">
        <f t="shared" si="2"/>
        <v>#N/A</v>
      </c>
      <c r="J6" s="26" t="e">
        <f t="shared" si="3"/>
        <v>#N/A</v>
      </c>
      <c r="K6" s="26"/>
      <c r="M6" s="9" t="s">
        <v>39</v>
      </c>
      <c r="N6" s="10" t="s">
        <v>6</v>
      </c>
      <c r="O6" s="11">
        <v>5</v>
      </c>
      <c r="P6" s="12">
        <v>5</v>
      </c>
      <c r="Q6" s="27" t="s">
        <v>9</v>
      </c>
      <c r="R6" s="14">
        <v>2354163</v>
      </c>
      <c r="S6" s="45"/>
      <c r="T6" s="15" t="s">
        <v>7</v>
      </c>
      <c r="U6" s="16">
        <v>8</v>
      </c>
      <c r="V6" s="17" t="s">
        <v>56</v>
      </c>
      <c r="W6" s="17" t="s">
        <v>57</v>
      </c>
      <c r="X6" s="11" t="s">
        <v>51</v>
      </c>
      <c r="Y6" s="18">
        <v>45999</v>
      </c>
      <c r="Z6" s="19">
        <v>4</v>
      </c>
      <c r="AA6" s="18"/>
      <c r="AB6" s="20" t="s">
        <v>52</v>
      </c>
      <c r="AC6" s="10" t="s">
        <v>63</v>
      </c>
      <c r="AD6" s="24"/>
      <c r="AE6" s="9"/>
    </row>
    <row r="7" spans="1:31" hidden="1" x14ac:dyDescent="0.25">
      <c r="A7" s="26" t="s">
        <v>6</v>
      </c>
      <c r="B7" s="26">
        <v>2362505</v>
      </c>
      <c r="C7" s="26" t="s">
        <v>110</v>
      </c>
      <c r="D7" s="26">
        <v>8</v>
      </c>
      <c r="E7" s="26" t="s">
        <v>16</v>
      </c>
      <c r="F7" s="26" t="s">
        <v>19</v>
      </c>
      <c r="G7" t="str">
        <f t="shared" si="0"/>
        <v>B9</v>
      </c>
      <c r="H7">
        <f t="shared" si="1"/>
        <v>2362505</v>
      </c>
      <c r="I7" t="str">
        <f t="shared" si="2"/>
        <v>B9</v>
      </c>
      <c r="J7" s="26" t="str">
        <f t="shared" si="3"/>
        <v>SI</v>
      </c>
      <c r="K7" s="26" t="s">
        <v>196</v>
      </c>
      <c r="M7" s="9" t="s">
        <v>39</v>
      </c>
      <c r="N7" s="10" t="s">
        <v>6</v>
      </c>
      <c r="O7" s="11">
        <v>7</v>
      </c>
      <c r="P7" s="12">
        <v>5</v>
      </c>
      <c r="Q7" s="27" t="s">
        <v>90</v>
      </c>
      <c r="R7" s="14">
        <v>2362120</v>
      </c>
      <c r="S7" s="45"/>
      <c r="T7" s="15" t="s">
        <v>91</v>
      </c>
      <c r="U7" s="16">
        <v>8</v>
      </c>
      <c r="V7" s="17" t="s">
        <v>87</v>
      </c>
      <c r="W7" s="17" t="s">
        <v>88</v>
      </c>
      <c r="X7" s="11" t="s">
        <v>51</v>
      </c>
      <c r="Y7" s="18">
        <v>46044</v>
      </c>
      <c r="Z7" s="19">
        <v>1</v>
      </c>
      <c r="AA7" s="18"/>
      <c r="AB7" s="20" t="s">
        <v>164</v>
      </c>
      <c r="AC7" s="10" t="s">
        <v>16</v>
      </c>
      <c r="AD7" s="24"/>
      <c r="AE7" s="9"/>
    </row>
    <row r="8" spans="1:31" hidden="1" x14ac:dyDescent="0.25">
      <c r="A8" s="26" t="s">
        <v>6</v>
      </c>
      <c r="B8" s="26">
        <v>2362543</v>
      </c>
      <c r="C8" s="26" t="s">
        <v>111</v>
      </c>
      <c r="D8" s="26">
        <v>8</v>
      </c>
      <c r="E8" s="26" t="s">
        <v>16</v>
      </c>
      <c r="F8" s="26" t="s">
        <v>112</v>
      </c>
      <c r="G8" t="str">
        <f t="shared" si="0"/>
        <v>B5</v>
      </c>
      <c r="H8">
        <f t="shared" si="1"/>
        <v>2362543</v>
      </c>
      <c r="I8" t="str">
        <f t="shared" si="2"/>
        <v>B5</v>
      </c>
      <c r="J8" s="26" t="str">
        <f t="shared" si="3"/>
        <v>SI</v>
      </c>
      <c r="K8" s="26" t="s">
        <v>196</v>
      </c>
      <c r="M8" s="9" t="s">
        <v>39</v>
      </c>
      <c r="N8" s="10" t="s">
        <v>6</v>
      </c>
      <c r="O8" s="11">
        <v>1.1000000000000001</v>
      </c>
      <c r="P8" s="12">
        <v>5</v>
      </c>
      <c r="Q8" s="27" t="s">
        <v>125</v>
      </c>
      <c r="R8" s="14">
        <v>2362411</v>
      </c>
      <c r="S8" s="45"/>
      <c r="T8" s="15" t="s">
        <v>126</v>
      </c>
      <c r="U8" s="16">
        <v>8</v>
      </c>
      <c r="V8" s="17" t="s">
        <v>56</v>
      </c>
      <c r="W8" s="17" t="s">
        <v>57</v>
      </c>
      <c r="X8" s="11" t="s">
        <v>51</v>
      </c>
      <c r="Y8" s="18">
        <v>46045</v>
      </c>
      <c r="Z8" s="19">
        <v>1</v>
      </c>
      <c r="AA8" s="18"/>
      <c r="AB8" s="20" t="s">
        <v>69</v>
      </c>
      <c r="AC8" s="10" t="s">
        <v>16</v>
      </c>
      <c r="AD8" s="24"/>
      <c r="AE8" s="9"/>
    </row>
    <row r="9" spans="1:31" x14ac:dyDescent="0.25">
      <c r="A9" s="26" t="s">
        <v>6</v>
      </c>
      <c r="B9" s="26"/>
      <c r="C9" s="26" t="s">
        <v>102</v>
      </c>
      <c r="D9" s="26">
        <v>8</v>
      </c>
      <c r="E9" s="26" t="s">
        <v>16</v>
      </c>
      <c r="F9" s="26" t="s">
        <v>171</v>
      </c>
      <c r="G9" t="e">
        <f t="shared" si="0"/>
        <v>#N/A</v>
      </c>
      <c r="H9" t="e">
        <f t="shared" si="1"/>
        <v>#N/A</v>
      </c>
      <c r="I9" s="26" t="e">
        <f t="shared" si="2"/>
        <v>#N/A</v>
      </c>
      <c r="J9" s="26" t="e">
        <f t="shared" si="3"/>
        <v>#N/A</v>
      </c>
      <c r="K9" s="26"/>
      <c r="M9" s="9" t="s">
        <v>39</v>
      </c>
      <c r="N9" s="10" t="s">
        <v>6</v>
      </c>
      <c r="O9" s="11">
        <v>1.1000000000000001</v>
      </c>
      <c r="P9" s="12">
        <v>5</v>
      </c>
      <c r="Q9" s="27" t="s">
        <v>140</v>
      </c>
      <c r="R9" s="14">
        <v>2362414</v>
      </c>
      <c r="S9" s="45"/>
      <c r="T9" s="15" t="s">
        <v>70</v>
      </c>
      <c r="U9" s="16">
        <v>8</v>
      </c>
      <c r="V9" s="17" t="s">
        <v>56</v>
      </c>
      <c r="W9" s="17" t="s">
        <v>57</v>
      </c>
      <c r="X9" s="11" t="s">
        <v>51</v>
      </c>
      <c r="Y9" s="18">
        <v>46045</v>
      </c>
      <c r="Z9" s="19">
        <v>1</v>
      </c>
      <c r="AA9" s="18"/>
      <c r="AB9" s="20" t="s">
        <v>69</v>
      </c>
      <c r="AC9" s="10" t="s">
        <v>16</v>
      </c>
      <c r="AD9" s="24"/>
      <c r="AE9" s="9"/>
    </row>
    <row r="10" spans="1:31" x14ac:dyDescent="0.25">
      <c r="A10" s="26" t="s">
        <v>6</v>
      </c>
      <c r="B10" s="26">
        <v>2363181</v>
      </c>
      <c r="C10" s="26" t="s">
        <v>172</v>
      </c>
      <c r="D10" s="26">
        <v>8</v>
      </c>
      <c r="E10" s="26" t="s">
        <v>16</v>
      </c>
      <c r="F10" s="26" t="s">
        <v>79</v>
      </c>
      <c r="G10" t="e">
        <f t="shared" si="0"/>
        <v>#N/A</v>
      </c>
      <c r="H10" t="e">
        <f t="shared" si="1"/>
        <v>#N/A</v>
      </c>
      <c r="I10" t="e">
        <f t="shared" si="2"/>
        <v>#N/A</v>
      </c>
      <c r="J10" s="26" t="e">
        <f t="shared" si="3"/>
        <v>#N/A</v>
      </c>
      <c r="M10" s="9" t="s">
        <v>39</v>
      </c>
      <c r="N10" s="10" t="s">
        <v>6</v>
      </c>
      <c r="O10" s="11">
        <v>1.1000000000000001</v>
      </c>
      <c r="P10" s="12">
        <v>5</v>
      </c>
      <c r="Q10" s="27" t="s">
        <v>146</v>
      </c>
      <c r="R10" s="14">
        <v>2362417</v>
      </c>
      <c r="S10" s="45"/>
      <c r="T10" s="15" t="s">
        <v>20</v>
      </c>
      <c r="U10" s="16">
        <v>8</v>
      </c>
      <c r="V10" s="17" t="s">
        <v>56</v>
      </c>
      <c r="W10" s="17" t="s">
        <v>57</v>
      </c>
      <c r="X10" s="11" t="s">
        <v>51</v>
      </c>
      <c r="Y10" s="18">
        <v>46045</v>
      </c>
      <c r="Z10" s="19">
        <v>1</v>
      </c>
      <c r="AA10" s="18"/>
      <c r="AB10" s="20" t="s">
        <v>69</v>
      </c>
      <c r="AC10" s="10" t="s">
        <v>16</v>
      </c>
      <c r="AD10" s="24"/>
      <c r="AE10" s="9"/>
    </row>
    <row r="11" spans="1:31" hidden="1" x14ac:dyDescent="0.25">
      <c r="A11" s="26" t="s">
        <v>6</v>
      </c>
      <c r="B11" s="26">
        <v>2362120</v>
      </c>
      <c r="C11" s="26" t="s">
        <v>90</v>
      </c>
      <c r="D11" s="26">
        <v>8</v>
      </c>
      <c r="E11" s="26" t="s">
        <v>16</v>
      </c>
      <c r="F11" s="26" t="s">
        <v>91</v>
      </c>
      <c r="G11" t="str">
        <f t="shared" si="0"/>
        <v>D2</v>
      </c>
      <c r="H11">
        <f t="shared" si="1"/>
        <v>2362120</v>
      </c>
      <c r="I11" t="str">
        <f t="shared" si="2"/>
        <v>D2</v>
      </c>
      <c r="J11" s="26" t="str">
        <f t="shared" si="3"/>
        <v>SI</v>
      </c>
      <c r="K11" s="26" t="s">
        <v>196</v>
      </c>
      <c r="M11" s="9" t="s">
        <v>39</v>
      </c>
      <c r="N11" s="10" t="s">
        <v>6</v>
      </c>
      <c r="O11" s="11">
        <v>1.1000000000000001</v>
      </c>
      <c r="P11" s="12">
        <v>5</v>
      </c>
      <c r="Q11" s="27" t="s">
        <v>149</v>
      </c>
      <c r="R11" s="14">
        <v>2362420</v>
      </c>
      <c r="S11" s="45"/>
      <c r="T11" s="15" t="s">
        <v>89</v>
      </c>
      <c r="U11" s="16">
        <v>16</v>
      </c>
      <c r="V11" s="17" t="s">
        <v>56</v>
      </c>
      <c r="W11" s="17" t="s">
        <v>57</v>
      </c>
      <c r="X11" s="11" t="s">
        <v>51</v>
      </c>
      <c r="Y11" s="18">
        <v>46045</v>
      </c>
      <c r="Z11" s="19">
        <v>1</v>
      </c>
      <c r="AA11" s="18"/>
      <c r="AB11" s="20" t="s">
        <v>69</v>
      </c>
      <c r="AC11" s="10" t="s">
        <v>16</v>
      </c>
      <c r="AD11" s="24"/>
      <c r="AE11" s="9"/>
    </row>
    <row r="12" spans="1:31" hidden="1" x14ac:dyDescent="0.25">
      <c r="A12" s="26" t="s">
        <v>6</v>
      </c>
      <c r="B12" s="26">
        <v>2362757</v>
      </c>
      <c r="C12" s="26" t="s">
        <v>114</v>
      </c>
      <c r="D12" s="26">
        <v>8</v>
      </c>
      <c r="E12" s="26" t="s">
        <v>16</v>
      </c>
      <c r="F12" s="26" t="s">
        <v>85</v>
      </c>
      <c r="G12" t="str">
        <f t="shared" si="0"/>
        <v>D9</v>
      </c>
      <c r="H12">
        <f t="shared" si="1"/>
        <v>2362757</v>
      </c>
      <c r="I12" t="str">
        <f t="shared" si="2"/>
        <v>D9</v>
      </c>
      <c r="J12" s="26" t="str">
        <f t="shared" si="3"/>
        <v>SI</v>
      </c>
      <c r="K12" t="s">
        <v>196</v>
      </c>
      <c r="M12" s="9" t="s">
        <v>39</v>
      </c>
      <c r="N12" s="10" t="s">
        <v>6</v>
      </c>
      <c r="O12" s="11">
        <v>1.8</v>
      </c>
      <c r="P12" s="12">
        <v>5</v>
      </c>
      <c r="Q12" s="27" t="s">
        <v>109</v>
      </c>
      <c r="R12" s="14">
        <v>2359520</v>
      </c>
      <c r="S12" s="45"/>
      <c r="T12" s="15" t="s">
        <v>15</v>
      </c>
      <c r="U12" s="16">
        <v>8</v>
      </c>
      <c r="V12" s="17" t="s">
        <v>56</v>
      </c>
      <c r="W12" s="17" t="s">
        <v>57</v>
      </c>
      <c r="X12" s="11" t="s">
        <v>94</v>
      </c>
      <c r="Y12" s="18">
        <v>46048</v>
      </c>
      <c r="Z12" s="19"/>
      <c r="AA12" s="46"/>
      <c r="AB12" s="20" t="s">
        <v>192</v>
      </c>
      <c r="AC12" s="10"/>
      <c r="AD12" s="48"/>
      <c r="AE12" s="9"/>
    </row>
    <row r="13" spans="1:31" x14ac:dyDescent="0.25">
      <c r="A13" s="26" t="s">
        <v>6</v>
      </c>
      <c r="B13" s="26"/>
      <c r="C13" s="26" t="s">
        <v>173</v>
      </c>
      <c r="D13" s="26">
        <v>8</v>
      </c>
      <c r="E13" s="26" t="s">
        <v>16</v>
      </c>
      <c r="F13" s="26" t="s">
        <v>174</v>
      </c>
      <c r="G13" t="e">
        <f t="shared" si="0"/>
        <v>#N/A</v>
      </c>
      <c r="H13" t="e">
        <f t="shared" si="1"/>
        <v>#N/A</v>
      </c>
      <c r="I13" s="26" t="e">
        <f t="shared" si="2"/>
        <v>#N/A</v>
      </c>
      <c r="J13" s="26" t="e">
        <f t="shared" si="3"/>
        <v>#N/A</v>
      </c>
      <c r="K13" s="26"/>
      <c r="M13" s="9" t="s">
        <v>39</v>
      </c>
      <c r="N13" s="10" t="s">
        <v>6</v>
      </c>
      <c r="O13" s="11">
        <v>1.1000000000000001</v>
      </c>
      <c r="P13" s="12">
        <v>5</v>
      </c>
      <c r="Q13" s="27" t="s">
        <v>110</v>
      </c>
      <c r="R13" s="14">
        <v>2362505</v>
      </c>
      <c r="S13" s="45"/>
      <c r="T13" s="15" t="s">
        <v>19</v>
      </c>
      <c r="U13" s="16">
        <v>8</v>
      </c>
      <c r="V13" s="17" t="s">
        <v>40</v>
      </c>
      <c r="W13" s="17" t="s">
        <v>41</v>
      </c>
      <c r="X13" s="11" t="s">
        <v>40</v>
      </c>
      <c r="Y13" s="18">
        <v>46048</v>
      </c>
      <c r="Z13" s="19"/>
      <c r="AA13" s="46"/>
      <c r="AB13" s="20" t="s">
        <v>69</v>
      </c>
      <c r="AC13" s="10"/>
      <c r="AD13" s="48"/>
      <c r="AE13" s="9"/>
    </row>
    <row r="14" spans="1:31" hidden="1" x14ac:dyDescent="0.25">
      <c r="A14" s="26" t="s">
        <v>6</v>
      </c>
      <c r="B14" s="26">
        <v>2362423</v>
      </c>
      <c r="C14" s="26" t="s">
        <v>82</v>
      </c>
      <c r="D14" s="26">
        <v>8</v>
      </c>
      <c r="E14" s="26" t="s">
        <v>16</v>
      </c>
      <c r="F14" s="26" t="s">
        <v>20</v>
      </c>
      <c r="G14" t="str">
        <f t="shared" si="0"/>
        <v>BA</v>
      </c>
      <c r="H14">
        <f t="shared" si="1"/>
        <v>2362423</v>
      </c>
      <c r="I14" t="str">
        <f t="shared" si="2"/>
        <v>BA</v>
      </c>
      <c r="J14" s="26" t="str">
        <f t="shared" si="3"/>
        <v>SI</v>
      </c>
      <c r="K14" s="26" t="s">
        <v>196</v>
      </c>
      <c r="M14" s="9" t="s">
        <v>39</v>
      </c>
      <c r="N14" s="10" t="s">
        <v>6</v>
      </c>
      <c r="O14" s="11">
        <v>1.1000000000000001</v>
      </c>
      <c r="P14" s="12">
        <v>5</v>
      </c>
      <c r="Q14" s="27" t="s">
        <v>111</v>
      </c>
      <c r="R14" s="14">
        <v>2362543</v>
      </c>
      <c r="S14" s="45"/>
      <c r="T14" s="15" t="s">
        <v>112</v>
      </c>
      <c r="U14" s="16">
        <v>8</v>
      </c>
      <c r="V14" s="17" t="s">
        <v>40</v>
      </c>
      <c r="W14" s="17" t="s">
        <v>41</v>
      </c>
      <c r="X14" s="11" t="s">
        <v>93</v>
      </c>
      <c r="Y14" s="18">
        <v>46048</v>
      </c>
      <c r="Z14" s="19"/>
      <c r="AA14" s="46"/>
      <c r="AB14" s="20" t="s">
        <v>69</v>
      </c>
      <c r="AC14" s="10"/>
      <c r="AD14" s="48"/>
      <c r="AE14" s="9"/>
    </row>
    <row r="15" spans="1:31" hidden="1" x14ac:dyDescent="0.25">
      <c r="A15" s="26" t="s">
        <v>6</v>
      </c>
      <c r="B15" s="26">
        <v>2362760</v>
      </c>
      <c r="C15" s="26" t="s">
        <v>115</v>
      </c>
      <c r="D15" s="26">
        <v>8</v>
      </c>
      <c r="E15" s="26" t="s">
        <v>16</v>
      </c>
      <c r="F15" s="26" t="s">
        <v>24</v>
      </c>
      <c r="G15" s="26" t="str">
        <f t="shared" ref="G15:G53" si="4">VLOOKUP(B15,R:U,3,0)</f>
        <v>AA</v>
      </c>
      <c r="H15" s="26">
        <f t="shared" ref="H15:H53" si="5">VLOOKUP(C15,Q:R,2,0)</f>
        <v>2362760</v>
      </c>
      <c r="I15" s="26" t="str">
        <f t="shared" ref="I15:I53" si="6">VLOOKUP(C15,Q:T,4,0)</f>
        <v>AA</v>
      </c>
      <c r="J15" s="26" t="str">
        <f t="shared" ref="J15:J53" si="7">IF(H15=B15,"SI","NO ES IGUAL")</f>
        <v>SI</v>
      </c>
      <c r="K15" s="26" t="s">
        <v>196</v>
      </c>
      <c r="M15" s="9" t="s">
        <v>39</v>
      </c>
      <c r="N15" s="10" t="s">
        <v>6</v>
      </c>
      <c r="O15" s="11">
        <v>1.1000000000000001</v>
      </c>
      <c r="P15" s="12">
        <v>5</v>
      </c>
      <c r="Q15" s="27" t="s">
        <v>113</v>
      </c>
      <c r="R15" s="14">
        <v>2362511</v>
      </c>
      <c r="S15" s="45"/>
      <c r="T15" s="15" t="s">
        <v>81</v>
      </c>
      <c r="U15" s="16">
        <v>8</v>
      </c>
      <c r="V15" s="17" t="s">
        <v>40</v>
      </c>
      <c r="W15" s="17" t="s">
        <v>41</v>
      </c>
      <c r="X15" s="11" t="s">
        <v>93</v>
      </c>
      <c r="Y15" s="18">
        <v>46048</v>
      </c>
      <c r="Z15" s="19"/>
      <c r="AA15" s="46"/>
      <c r="AB15" s="20" t="s">
        <v>69</v>
      </c>
      <c r="AC15" s="10"/>
      <c r="AD15" s="48"/>
      <c r="AE15" s="9"/>
    </row>
    <row r="16" spans="1:31" hidden="1" x14ac:dyDescent="0.25">
      <c r="A16" s="26" t="s">
        <v>6</v>
      </c>
      <c r="B16" s="26">
        <v>2362957</v>
      </c>
      <c r="C16" s="26" t="s">
        <v>116</v>
      </c>
      <c r="D16" s="26">
        <v>8</v>
      </c>
      <c r="E16" s="26" t="s">
        <v>16</v>
      </c>
      <c r="F16" s="26" t="s">
        <v>117</v>
      </c>
      <c r="G16" s="26" t="str">
        <f t="shared" si="4"/>
        <v>EA</v>
      </c>
      <c r="H16" s="26">
        <f t="shared" si="5"/>
        <v>2362957</v>
      </c>
      <c r="I16" s="26" t="str">
        <f t="shared" si="6"/>
        <v>EA</v>
      </c>
      <c r="J16" s="26" t="str">
        <f t="shared" si="7"/>
        <v>SI</v>
      </c>
      <c r="K16" s="26" t="s">
        <v>196</v>
      </c>
      <c r="M16" s="9" t="s">
        <v>39</v>
      </c>
      <c r="N16" s="10" t="s">
        <v>6</v>
      </c>
      <c r="O16" s="11">
        <v>2</v>
      </c>
      <c r="P16" s="12">
        <v>5</v>
      </c>
      <c r="Q16" s="27" t="s">
        <v>82</v>
      </c>
      <c r="R16" s="14">
        <v>2362423</v>
      </c>
      <c r="S16" s="45"/>
      <c r="T16" s="15" t="s">
        <v>20</v>
      </c>
      <c r="U16" s="16">
        <v>8</v>
      </c>
      <c r="V16" s="17" t="s">
        <v>53</v>
      </c>
      <c r="W16" s="17" t="s">
        <v>54</v>
      </c>
      <c r="X16" s="11" t="s">
        <v>49</v>
      </c>
      <c r="Y16" s="18">
        <v>46048</v>
      </c>
      <c r="Z16" s="19"/>
      <c r="AA16" s="46"/>
      <c r="AB16" s="20" t="s">
        <v>55</v>
      </c>
      <c r="AC16" s="10"/>
      <c r="AD16" s="48"/>
      <c r="AE16" s="9"/>
    </row>
    <row r="17" spans="1:31" hidden="1" x14ac:dyDescent="0.25">
      <c r="A17" s="26" t="s">
        <v>6</v>
      </c>
      <c r="B17" s="26">
        <v>2362960</v>
      </c>
      <c r="C17" s="26" t="s">
        <v>118</v>
      </c>
      <c r="D17" s="26">
        <v>8</v>
      </c>
      <c r="E17" s="26" t="s">
        <v>16</v>
      </c>
      <c r="F17" s="26" t="s">
        <v>17</v>
      </c>
      <c r="G17" s="26" t="str">
        <f t="shared" si="4"/>
        <v>A9</v>
      </c>
      <c r="H17" s="26">
        <f t="shared" si="5"/>
        <v>2362960</v>
      </c>
      <c r="I17" s="26" t="str">
        <f t="shared" si="6"/>
        <v>A9</v>
      </c>
      <c r="J17" s="26" t="str">
        <f t="shared" si="7"/>
        <v>SI</v>
      </c>
      <c r="K17" t="s">
        <v>196</v>
      </c>
      <c r="M17" s="9" t="s">
        <v>39</v>
      </c>
      <c r="N17" s="10" t="s">
        <v>6</v>
      </c>
      <c r="O17" s="11">
        <v>1.1000000000000001</v>
      </c>
      <c r="P17" s="12">
        <v>5</v>
      </c>
      <c r="Q17" s="27" t="s">
        <v>128</v>
      </c>
      <c r="R17" s="14">
        <v>2362527</v>
      </c>
      <c r="S17" s="45"/>
      <c r="T17" s="15" t="s">
        <v>81</v>
      </c>
      <c r="U17" s="16">
        <v>8</v>
      </c>
      <c r="V17" s="17" t="s">
        <v>40</v>
      </c>
      <c r="W17" s="17" t="s">
        <v>41</v>
      </c>
      <c r="X17" s="11" t="s">
        <v>40</v>
      </c>
      <c r="Y17" s="18">
        <v>46048</v>
      </c>
      <c r="Z17" s="19"/>
      <c r="AA17" s="46"/>
      <c r="AB17" s="20" t="s">
        <v>69</v>
      </c>
      <c r="AC17" s="10"/>
      <c r="AD17" s="48"/>
      <c r="AE17" s="9"/>
    </row>
    <row r="18" spans="1:31" hidden="1" x14ac:dyDescent="0.25">
      <c r="A18" s="26" t="s">
        <v>6</v>
      </c>
      <c r="B18" s="26">
        <v>2362954</v>
      </c>
      <c r="C18" s="26" t="s">
        <v>119</v>
      </c>
      <c r="D18" s="26">
        <v>8</v>
      </c>
      <c r="E18" s="26" t="s">
        <v>16</v>
      </c>
      <c r="F18" s="26" t="s">
        <v>20</v>
      </c>
      <c r="G18" s="26" t="str">
        <f t="shared" si="4"/>
        <v>BA</v>
      </c>
      <c r="H18" s="26">
        <f t="shared" si="5"/>
        <v>2362954</v>
      </c>
      <c r="I18" s="26" t="str">
        <f t="shared" si="6"/>
        <v>BA</v>
      </c>
      <c r="J18" s="26" t="str">
        <f t="shared" si="7"/>
        <v>SI</v>
      </c>
      <c r="K18" s="26" t="s">
        <v>196</v>
      </c>
      <c r="M18" s="9" t="s">
        <v>39</v>
      </c>
      <c r="N18" s="10" t="s">
        <v>6</v>
      </c>
      <c r="O18" s="11">
        <v>1.1000000000000001</v>
      </c>
      <c r="P18" s="12">
        <v>5</v>
      </c>
      <c r="Q18" s="27" t="s">
        <v>129</v>
      </c>
      <c r="R18" s="14">
        <v>2362514</v>
      </c>
      <c r="S18" s="45"/>
      <c r="T18" s="15" t="s">
        <v>130</v>
      </c>
      <c r="U18" s="16">
        <v>8</v>
      </c>
      <c r="V18" s="17" t="s">
        <v>40</v>
      </c>
      <c r="W18" s="17" t="s">
        <v>41</v>
      </c>
      <c r="X18" s="11" t="s">
        <v>93</v>
      </c>
      <c r="Y18" s="18">
        <v>46048</v>
      </c>
      <c r="Z18" s="19"/>
      <c r="AA18" s="46"/>
      <c r="AB18" s="20" t="s">
        <v>69</v>
      </c>
      <c r="AC18" s="10"/>
      <c r="AD18" s="48"/>
      <c r="AE18" s="9"/>
    </row>
    <row r="19" spans="1:31" hidden="1" x14ac:dyDescent="0.25">
      <c r="A19" s="26" t="s">
        <v>6</v>
      </c>
      <c r="B19" s="26">
        <v>2362772</v>
      </c>
      <c r="C19" s="26" t="s">
        <v>120</v>
      </c>
      <c r="D19" s="26">
        <v>8</v>
      </c>
      <c r="E19" s="26" t="s">
        <v>16</v>
      </c>
      <c r="F19" s="26" t="s">
        <v>76</v>
      </c>
      <c r="G19" s="26" t="str">
        <f t="shared" si="4"/>
        <v>C5</v>
      </c>
      <c r="H19" s="26">
        <f t="shared" si="5"/>
        <v>2362772</v>
      </c>
      <c r="I19" s="26" t="str">
        <f t="shared" si="6"/>
        <v>C5</v>
      </c>
      <c r="J19" s="26" t="str">
        <f t="shared" si="7"/>
        <v>SI</v>
      </c>
      <c r="K19" s="26" t="s">
        <v>196</v>
      </c>
      <c r="M19" s="9" t="s">
        <v>39</v>
      </c>
      <c r="N19" s="10" t="s">
        <v>6</v>
      </c>
      <c r="O19" s="11">
        <v>1.1000000000000001</v>
      </c>
      <c r="P19" s="12">
        <v>5</v>
      </c>
      <c r="Q19" s="27" t="s">
        <v>135</v>
      </c>
      <c r="R19" s="14">
        <v>2362548</v>
      </c>
      <c r="S19" s="45"/>
      <c r="T19" s="15" t="s">
        <v>136</v>
      </c>
      <c r="U19" s="16">
        <v>8</v>
      </c>
      <c r="V19" s="17" t="s">
        <v>40</v>
      </c>
      <c r="W19" s="17" t="s">
        <v>41</v>
      </c>
      <c r="X19" s="11" t="s">
        <v>40</v>
      </c>
      <c r="Y19" s="18">
        <v>46048</v>
      </c>
      <c r="Z19" s="19"/>
      <c r="AA19" s="46"/>
      <c r="AB19" s="20" t="s">
        <v>69</v>
      </c>
      <c r="AC19" s="10"/>
      <c r="AD19" s="48"/>
      <c r="AE19" s="9"/>
    </row>
    <row r="20" spans="1:31" hidden="1" x14ac:dyDescent="0.25">
      <c r="A20" s="26" t="s">
        <v>6</v>
      </c>
      <c r="B20" s="26">
        <v>2363171</v>
      </c>
      <c r="C20" s="26" t="s">
        <v>121</v>
      </c>
      <c r="D20" s="26">
        <v>8</v>
      </c>
      <c r="E20" s="26" t="s">
        <v>16</v>
      </c>
      <c r="F20" s="26" t="s">
        <v>18</v>
      </c>
      <c r="G20" s="26" t="e">
        <f t="shared" si="4"/>
        <v>#N/A</v>
      </c>
      <c r="H20" s="26">
        <f t="shared" si="5"/>
        <v>0</v>
      </c>
      <c r="I20" s="26" t="str">
        <f t="shared" si="6"/>
        <v>C9</v>
      </c>
      <c r="J20" s="26" t="str">
        <f t="shared" si="7"/>
        <v>NO ES IGUAL</v>
      </c>
      <c r="K20" s="26" t="s">
        <v>197</v>
      </c>
      <c r="M20" s="9" t="s">
        <v>39</v>
      </c>
      <c r="N20" s="10" t="s">
        <v>6</v>
      </c>
      <c r="O20" s="11">
        <v>1.1000000000000001</v>
      </c>
      <c r="P20" s="12">
        <v>5</v>
      </c>
      <c r="Q20" s="27" t="s">
        <v>141</v>
      </c>
      <c r="R20" s="14">
        <v>2362551</v>
      </c>
      <c r="S20" s="45"/>
      <c r="T20" s="15" t="s">
        <v>85</v>
      </c>
      <c r="U20" s="16">
        <v>8</v>
      </c>
      <c r="V20" s="17" t="s">
        <v>56</v>
      </c>
      <c r="W20" s="17" t="s">
        <v>57</v>
      </c>
      <c r="X20" s="11" t="s">
        <v>51</v>
      </c>
      <c r="Y20" s="18">
        <v>46048</v>
      </c>
      <c r="Z20" s="19"/>
      <c r="AA20" s="46"/>
      <c r="AB20" s="20" t="s">
        <v>69</v>
      </c>
      <c r="AC20" s="10"/>
      <c r="AD20" s="48"/>
      <c r="AE20" s="9"/>
    </row>
    <row r="21" spans="1:31" hidden="1" x14ac:dyDescent="0.25">
      <c r="A21" s="26" t="s">
        <v>6</v>
      </c>
      <c r="B21" s="26">
        <v>2362944</v>
      </c>
      <c r="C21" s="26" t="s">
        <v>122</v>
      </c>
      <c r="D21" s="26">
        <v>24</v>
      </c>
      <c r="E21" s="26" t="s">
        <v>16</v>
      </c>
      <c r="F21" s="26" t="s">
        <v>123</v>
      </c>
      <c r="G21" s="26" t="str">
        <f t="shared" si="4"/>
        <v>B7-9</v>
      </c>
      <c r="H21" s="26">
        <f t="shared" si="5"/>
        <v>2362944</v>
      </c>
      <c r="I21" s="26" t="str">
        <f t="shared" si="6"/>
        <v>B7-9</v>
      </c>
      <c r="J21" s="26" t="str">
        <f t="shared" si="7"/>
        <v>SI</v>
      </c>
      <c r="K21" s="26" t="s">
        <v>196</v>
      </c>
      <c r="M21" s="9" t="s">
        <v>39</v>
      </c>
      <c r="N21" s="10" t="s">
        <v>6</v>
      </c>
      <c r="O21" s="11">
        <v>1.1000000000000001</v>
      </c>
      <c r="P21" s="12">
        <v>5</v>
      </c>
      <c r="Q21" s="27" t="s">
        <v>143</v>
      </c>
      <c r="R21" s="14">
        <v>2362502</v>
      </c>
      <c r="S21" s="45"/>
      <c r="T21" s="15" t="s">
        <v>144</v>
      </c>
      <c r="U21" s="16">
        <v>8</v>
      </c>
      <c r="V21" s="17" t="s">
        <v>40</v>
      </c>
      <c r="W21" s="17" t="s">
        <v>41</v>
      </c>
      <c r="X21" s="11" t="s">
        <v>40</v>
      </c>
      <c r="Y21" s="18">
        <v>46048</v>
      </c>
      <c r="Z21" s="19"/>
      <c r="AA21" s="46"/>
      <c r="AB21" s="20" t="s">
        <v>69</v>
      </c>
      <c r="AC21" s="10"/>
      <c r="AD21" s="48"/>
      <c r="AE21" s="9"/>
    </row>
    <row r="22" spans="1:31" x14ac:dyDescent="0.25">
      <c r="A22" s="26" t="s">
        <v>6</v>
      </c>
      <c r="B22" s="26">
        <v>2363187</v>
      </c>
      <c r="C22" s="26" t="s">
        <v>84</v>
      </c>
      <c r="D22" s="26">
        <v>8</v>
      </c>
      <c r="E22" s="26" t="s">
        <v>16</v>
      </c>
      <c r="F22" s="26" t="s">
        <v>117</v>
      </c>
      <c r="G22" s="26" t="e">
        <f t="shared" si="4"/>
        <v>#N/A</v>
      </c>
      <c r="H22" s="26" t="e">
        <f t="shared" si="5"/>
        <v>#N/A</v>
      </c>
      <c r="I22" s="26" t="e">
        <f t="shared" si="6"/>
        <v>#N/A</v>
      </c>
      <c r="J22" s="26" t="e">
        <f t="shared" si="7"/>
        <v>#N/A</v>
      </c>
      <c r="M22" s="9" t="s">
        <v>39</v>
      </c>
      <c r="N22" s="10" t="s">
        <v>6</v>
      </c>
      <c r="O22" s="11">
        <v>2</v>
      </c>
      <c r="P22" s="12">
        <v>5</v>
      </c>
      <c r="Q22" s="27" t="s">
        <v>147</v>
      </c>
      <c r="R22" s="14">
        <v>2362517</v>
      </c>
      <c r="S22" s="45"/>
      <c r="T22" s="15" t="s">
        <v>19</v>
      </c>
      <c r="U22" s="16">
        <v>8</v>
      </c>
      <c r="V22" s="17" t="s">
        <v>40</v>
      </c>
      <c r="W22" s="17" t="s">
        <v>41</v>
      </c>
      <c r="X22" s="11" t="s">
        <v>93</v>
      </c>
      <c r="Y22" s="18">
        <v>46048</v>
      </c>
      <c r="Z22" s="19"/>
      <c r="AA22" s="46"/>
      <c r="AB22" s="20" t="s">
        <v>166</v>
      </c>
      <c r="AC22" s="10"/>
      <c r="AD22" s="48"/>
      <c r="AE22" s="9"/>
    </row>
    <row r="23" spans="1:31" x14ac:dyDescent="0.25">
      <c r="A23" s="26" t="s">
        <v>6</v>
      </c>
      <c r="B23" s="26">
        <v>2362941</v>
      </c>
      <c r="C23" s="26" t="s">
        <v>124</v>
      </c>
      <c r="D23" s="26">
        <v>24</v>
      </c>
      <c r="E23" s="26" t="s">
        <v>16</v>
      </c>
      <c r="F23" s="26" t="s">
        <v>104</v>
      </c>
      <c r="G23" s="26" t="e">
        <f t="shared" si="4"/>
        <v>#N/A</v>
      </c>
      <c r="H23" s="26" t="e">
        <f t="shared" si="5"/>
        <v>#N/A</v>
      </c>
      <c r="I23" s="26" t="e">
        <f t="shared" si="6"/>
        <v>#N/A</v>
      </c>
      <c r="J23" s="26" t="e">
        <f t="shared" si="7"/>
        <v>#N/A</v>
      </c>
      <c r="K23" s="26"/>
      <c r="M23" s="9" t="s">
        <v>39</v>
      </c>
      <c r="N23" s="10" t="s">
        <v>6</v>
      </c>
      <c r="O23" s="11">
        <v>1.1000000000000001</v>
      </c>
      <c r="P23" s="12">
        <v>5</v>
      </c>
      <c r="Q23" s="27" t="s">
        <v>148</v>
      </c>
      <c r="R23" s="14">
        <v>2362521</v>
      </c>
      <c r="S23" s="45"/>
      <c r="T23" s="15" t="s">
        <v>18</v>
      </c>
      <c r="U23" s="16">
        <v>8</v>
      </c>
      <c r="V23" s="17" t="s">
        <v>40</v>
      </c>
      <c r="W23" s="17" t="s">
        <v>41</v>
      </c>
      <c r="X23" s="11" t="s">
        <v>93</v>
      </c>
      <c r="Y23" s="18">
        <v>46048</v>
      </c>
      <c r="Z23" s="19"/>
      <c r="AA23" s="46"/>
      <c r="AB23" s="20" t="s">
        <v>69</v>
      </c>
      <c r="AC23" s="10"/>
      <c r="AD23" s="48"/>
      <c r="AE23" s="9"/>
    </row>
    <row r="24" spans="1:31" x14ac:dyDescent="0.25">
      <c r="A24" s="26" t="s">
        <v>6</v>
      </c>
      <c r="B24" s="26">
        <v>2363178</v>
      </c>
      <c r="C24" s="26" t="s">
        <v>175</v>
      </c>
      <c r="D24" s="26">
        <v>8</v>
      </c>
      <c r="E24" s="26" t="s">
        <v>16</v>
      </c>
      <c r="F24" s="26" t="s">
        <v>176</v>
      </c>
      <c r="G24" s="26" t="e">
        <f t="shared" si="4"/>
        <v>#N/A</v>
      </c>
      <c r="H24" s="26" t="e">
        <f t="shared" si="5"/>
        <v>#N/A</v>
      </c>
      <c r="I24" s="26" t="e">
        <f t="shared" si="6"/>
        <v>#N/A</v>
      </c>
      <c r="J24" s="26" t="e">
        <f t="shared" si="7"/>
        <v>#N/A</v>
      </c>
      <c r="M24" s="9" t="s">
        <v>39</v>
      </c>
      <c r="N24" s="10" t="s">
        <v>6</v>
      </c>
      <c r="O24" s="11">
        <v>1.1000000000000001</v>
      </c>
      <c r="P24" s="12">
        <v>5</v>
      </c>
      <c r="Q24" s="27" t="s">
        <v>153</v>
      </c>
      <c r="R24" s="14">
        <v>2362508</v>
      </c>
      <c r="S24" s="45"/>
      <c r="T24" s="15" t="s">
        <v>85</v>
      </c>
      <c r="U24" s="16">
        <v>8</v>
      </c>
      <c r="V24" s="17" t="s">
        <v>40</v>
      </c>
      <c r="W24" s="17" t="s">
        <v>41</v>
      </c>
      <c r="X24" s="11" t="s">
        <v>40</v>
      </c>
      <c r="Y24" s="18">
        <v>46048</v>
      </c>
      <c r="Z24" s="19"/>
      <c r="AA24" s="46"/>
      <c r="AB24" s="20" t="s">
        <v>69</v>
      </c>
      <c r="AC24" s="10"/>
      <c r="AD24" s="48"/>
      <c r="AE24" s="9"/>
    </row>
    <row r="25" spans="1:31" hidden="1" x14ac:dyDescent="0.25">
      <c r="A25" s="26" t="s">
        <v>6</v>
      </c>
      <c r="B25" s="26">
        <v>2362951</v>
      </c>
      <c r="C25" s="26" t="s">
        <v>125</v>
      </c>
      <c r="D25" s="26">
        <v>8</v>
      </c>
      <c r="E25" s="26" t="s">
        <v>16</v>
      </c>
      <c r="F25" s="26" t="s">
        <v>127</v>
      </c>
      <c r="G25" s="26" t="e">
        <f t="shared" si="4"/>
        <v>#N/A</v>
      </c>
      <c r="H25" s="26">
        <f t="shared" si="5"/>
        <v>2362411</v>
      </c>
      <c r="I25" s="26" t="str">
        <f t="shared" si="6"/>
        <v>H7</v>
      </c>
      <c r="J25" s="26" t="str">
        <f t="shared" si="7"/>
        <v>NO ES IGUAL</v>
      </c>
      <c r="K25" t="s">
        <v>198</v>
      </c>
      <c r="M25" s="9" t="s">
        <v>39</v>
      </c>
      <c r="N25" s="10" t="s">
        <v>6</v>
      </c>
      <c r="O25" s="11">
        <v>2</v>
      </c>
      <c r="P25" s="12">
        <v>5</v>
      </c>
      <c r="Q25" s="27" t="s">
        <v>154</v>
      </c>
      <c r="R25" s="14">
        <v>2362726</v>
      </c>
      <c r="S25" s="45"/>
      <c r="T25" s="15" t="s">
        <v>155</v>
      </c>
      <c r="U25" s="16">
        <v>8</v>
      </c>
      <c r="V25" s="17" t="s">
        <v>40</v>
      </c>
      <c r="W25" s="17" t="s">
        <v>41</v>
      </c>
      <c r="X25" s="11" t="s">
        <v>40</v>
      </c>
      <c r="Y25" s="18">
        <v>46048</v>
      </c>
      <c r="Z25" s="19"/>
      <c r="AA25" s="46"/>
      <c r="AB25" s="20" t="s">
        <v>166</v>
      </c>
      <c r="AC25" s="10"/>
      <c r="AD25" s="48"/>
      <c r="AE25" s="9"/>
    </row>
    <row r="26" spans="1:31" hidden="1" x14ac:dyDescent="0.25">
      <c r="A26" s="26" t="s">
        <v>6</v>
      </c>
      <c r="B26" s="26">
        <v>2361310</v>
      </c>
      <c r="C26" s="26" t="s">
        <v>74</v>
      </c>
      <c r="D26" s="26">
        <v>16</v>
      </c>
      <c r="E26" s="26" t="s">
        <v>16</v>
      </c>
      <c r="F26" s="26" t="s">
        <v>75</v>
      </c>
      <c r="G26" s="26" t="str">
        <f t="shared" si="4"/>
        <v>F7-8</v>
      </c>
      <c r="H26" s="26">
        <f t="shared" si="5"/>
        <v>2361310</v>
      </c>
      <c r="I26" s="26" t="str">
        <f t="shared" si="6"/>
        <v>F7-8</v>
      </c>
      <c r="J26" s="26" t="str">
        <f t="shared" si="7"/>
        <v>SI</v>
      </c>
      <c r="K26" s="26" t="s">
        <v>196</v>
      </c>
      <c r="M26" s="9" t="s">
        <v>39</v>
      </c>
      <c r="N26" s="10" t="s">
        <v>6</v>
      </c>
      <c r="O26" s="11">
        <v>1.1000000000000001</v>
      </c>
      <c r="P26" s="12">
        <v>5</v>
      </c>
      <c r="Q26" s="27" t="s">
        <v>156</v>
      </c>
      <c r="R26" s="14">
        <v>2362723</v>
      </c>
      <c r="S26" s="45"/>
      <c r="T26" s="15" t="s">
        <v>18</v>
      </c>
      <c r="U26" s="16">
        <v>8</v>
      </c>
      <c r="V26" s="17" t="s">
        <v>40</v>
      </c>
      <c r="W26" s="17" t="s">
        <v>41</v>
      </c>
      <c r="X26" s="11" t="s">
        <v>40</v>
      </c>
      <c r="Y26" s="18">
        <v>46048</v>
      </c>
      <c r="Z26" s="19"/>
      <c r="AA26" s="46"/>
      <c r="AB26" s="20" t="s">
        <v>69</v>
      </c>
      <c r="AC26" s="10"/>
      <c r="AD26" s="48"/>
      <c r="AE26" s="9"/>
    </row>
    <row r="27" spans="1:31" hidden="1" x14ac:dyDescent="0.25">
      <c r="A27" s="26" t="s">
        <v>6</v>
      </c>
      <c r="B27" s="26">
        <v>2362527</v>
      </c>
      <c r="C27" s="26" t="s">
        <v>128</v>
      </c>
      <c r="D27" s="26">
        <v>8</v>
      </c>
      <c r="E27" s="26" t="s">
        <v>16</v>
      </c>
      <c r="F27" s="26" t="s">
        <v>81</v>
      </c>
      <c r="G27" s="26" t="str">
        <f t="shared" si="4"/>
        <v>D8</v>
      </c>
      <c r="H27" s="26">
        <f t="shared" si="5"/>
        <v>2362527</v>
      </c>
      <c r="I27" s="26" t="str">
        <f t="shared" si="6"/>
        <v>D8</v>
      </c>
      <c r="J27" s="26" t="str">
        <f t="shared" si="7"/>
        <v>SI</v>
      </c>
      <c r="K27" s="26" t="s">
        <v>196</v>
      </c>
      <c r="M27" s="9" t="s">
        <v>39</v>
      </c>
      <c r="N27" s="10" t="s">
        <v>6</v>
      </c>
      <c r="O27" s="11">
        <v>1.1000000000000001</v>
      </c>
      <c r="P27" s="12">
        <v>5</v>
      </c>
      <c r="Q27" s="27" t="s">
        <v>157</v>
      </c>
      <c r="R27" s="14">
        <v>2362976</v>
      </c>
      <c r="S27" s="45"/>
      <c r="T27" s="15" t="s">
        <v>85</v>
      </c>
      <c r="U27" s="16">
        <v>8</v>
      </c>
      <c r="V27" s="17" t="s">
        <v>40</v>
      </c>
      <c r="W27" s="17" t="s">
        <v>41</v>
      </c>
      <c r="X27" s="11" t="s">
        <v>40</v>
      </c>
      <c r="Y27" s="18">
        <v>46048</v>
      </c>
      <c r="Z27" s="19"/>
      <c r="AA27" s="46"/>
      <c r="AB27" s="20" t="s">
        <v>69</v>
      </c>
      <c r="AC27" s="10"/>
      <c r="AD27" s="48"/>
      <c r="AE27" s="9"/>
    </row>
    <row r="28" spans="1:31" hidden="1" x14ac:dyDescent="0.25">
      <c r="A28" s="26" t="s">
        <v>6</v>
      </c>
      <c r="B28" s="26">
        <v>2362514</v>
      </c>
      <c r="C28" s="26" t="s">
        <v>129</v>
      </c>
      <c r="D28" s="26">
        <v>8</v>
      </c>
      <c r="E28" s="26" t="s">
        <v>16</v>
      </c>
      <c r="F28" s="26" t="s">
        <v>130</v>
      </c>
      <c r="G28" s="26" t="str">
        <f t="shared" si="4"/>
        <v>L9</v>
      </c>
      <c r="H28" s="26">
        <f t="shared" si="5"/>
        <v>2362514</v>
      </c>
      <c r="I28" s="26" t="str">
        <f t="shared" si="6"/>
        <v>L9</v>
      </c>
      <c r="J28" s="26" t="str">
        <f t="shared" si="7"/>
        <v>SI</v>
      </c>
      <c r="K28" s="26" t="s">
        <v>196</v>
      </c>
      <c r="M28" s="9" t="s">
        <v>39</v>
      </c>
      <c r="N28" s="10" t="s">
        <v>6</v>
      </c>
      <c r="O28" s="11">
        <v>1.1000000000000001</v>
      </c>
      <c r="P28" s="12">
        <v>5</v>
      </c>
      <c r="Q28" s="27" t="s">
        <v>162</v>
      </c>
      <c r="R28" s="14">
        <v>2362524</v>
      </c>
      <c r="S28" s="45"/>
      <c r="T28" s="15" t="s">
        <v>163</v>
      </c>
      <c r="U28" s="16">
        <v>8</v>
      </c>
      <c r="V28" s="17" t="s">
        <v>40</v>
      </c>
      <c r="W28" s="17" t="s">
        <v>41</v>
      </c>
      <c r="X28" s="11" t="s">
        <v>93</v>
      </c>
      <c r="Y28" s="18">
        <v>46048</v>
      </c>
      <c r="Z28" s="19"/>
      <c r="AA28" s="46"/>
      <c r="AB28" s="20" t="s">
        <v>69</v>
      </c>
      <c r="AC28" s="10"/>
      <c r="AD28" s="48"/>
      <c r="AE28" s="9"/>
    </row>
    <row r="29" spans="1:31" hidden="1" x14ac:dyDescent="0.25">
      <c r="A29" s="26" t="s">
        <v>6</v>
      </c>
      <c r="B29" s="26">
        <v>2362766</v>
      </c>
      <c r="C29" s="26" t="s">
        <v>131</v>
      </c>
      <c r="D29" s="26">
        <v>8</v>
      </c>
      <c r="E29" s="26" t="s">
        <v>16</v>
      </c>
      <c r="F29" s="26" t="s">
        <v>19</v>
      </c>
      <c r="G29" s="26" t="str">
        <f t="shared" si="4"/>
        <v>B9</v>
      </c>
      <c r="H29" s="26">
        <f t="shared" si="5"/>
        <v>2362766</v>
      </c>
      <c r="I29" s="26" t="str">
        <f t="shared" si="6"/>
        <v>B9</v>
      </c>
      <c r="J29" s="26" t="str">
        <f t="shared" si="7"/>
        <v>SI</v>
      </c>
      <c r="K29" s="26" t="s">
        <v>196</v>
      </c>
      <c r="M29" s="9" t="s">
        <v>39</v>
      </c>
      <c r="N29" s="10" t="s">
        <v>6</v>
      </c>
      <c r="O29" s="11">
        <v>2</v>
      </c>
      <c r="P29" s="12">
        <v>5</v>
      </c>
      <c r="Q29" s="27" t="s">
        <v>151</v>
      </c>
      <c r="R29" s="14">
        <v>2362738</v>
      </c>
      <c r="S29" s="45"/>
      <c r="T29" s="15" t="s">
        <v>152</v>
      </c>
      <c r="U29" s="16">
        <v>8</v>
      </c>
      <c r="V29" s="17" t="s">
        <v>56</v>
      </c>
      <c r="W29" s="17" t="s">
        <v>57</v>
      </c>
      <c r="X29" s="11" t="s">
        <v>51</v>
      </c>
      <c r="Y29" s="18">
        <v>46048</v>
      </c>
      <c r="Z29" s="19"/>
      <c r="AA29" s="46"/>
      <c r="AB29" s="20" t="s">
        <v>65</v>
      </c>
      <c r="AC29" s="10"/>
      <c r="AD29" s="48"/>
      <c r="AE29" s="9"/>
    </row>
    <row r="30" spans="1:31" hidden="1" x14ac:dyDescent="0.25">
      <c r="A30" s="26" t="s">
        <v>6</v>
      </c>
      <c r="B30" s="26">
        <v>2362769</v>
      </c>
      <c r="C30" s="26" t="s">
        <v>132</v>
      </c>
      <c r="D30" s="26">
        <v>8</v>
      </c>
      <c r="E30" s="26" t="s">
        <v>16</v>
      </c>
      <c r="F30" s="26" t="s">
        <v>17</v>
      </c>
      <c r="G30" s="26" t="str">
        <f t="shared" si="4"/>
        <v>A9</v>
      </c>
      <c r="H30" s="26">
        <f t="shared" si="5"/>
        <v>2362769</v>
      </c>
      <c r="I30" s="26" t="str">
        <f t="shared" si="6"/>
        <v>A9</v>
      </c>
      <c r="J30" s="26" t="str">
        <f t="shared" si="7"/>
        <v>SI</v>
      </c>
      <c r="K30" s="26" t="s">
        <v>196</v>
      </c>
      <c r="M30" s="9" t="s">
        <v>39</v>
      </c>
      <c r="N30" s="10" t="s">
        <v>6</v>
      </c>
      <c r="O30" s="11">
        <v>2</v>
      </c>
      <c r="P30" s="12">
        <v>5</v>
      </c>
      <c r="Q30" s="27" t="s">
        <v>137</v>
      </c>
      <c r="R30" s="14">
        <v>2362741</v>
      </c>
      <c r="S30" s="45"/>
      <c r="T30" s="15" t="s">
        <v>17</v>
      </c>
      <c r="U30" s="16">
        <v>8</v>
      </c>
      <c r="V30" s="17" t="s">
        <v>40</v>
      </c>
      <c r="W30" s="17" t="s">
        <v>41</v>
      </c>
      <c r="X30" s="11" t="s">
        <v>40</v>
      </c>
      <c r="Y30" s="18">
        <v>46048</v>
      </c>
      <c r="Z30" s="19"/>
      <c r="AA30" s="46"/>
      <c r="AB30" s="20" t="s">
        <v>166</v>
      </c>
      <c r="AC30" s="10"/>
      <c r="AD30" s="48"/>
      <c r="AE30" s="9"/>
    </row>
    <row r="31" spans="1:31" hidden="1" x14ac:dyDescent="0.25">
      <c r="A31" s="26" t="s">
        <v>6</v>
      </c>
      <c r="B31" s="26">
        <v>2362763</v>
      </c>
      <c r="C31" s="26" t="s">
        <v>133</v>
      </c>
      <c r="D31" s="26">
        <v>8</v>
      </c>
      <c r="E31" s="26" t="s">
        <v>16</v>
      </c>
      <c r="F31" s="26" t="s">
        <v>134</v>
      </c>
      <c r="G31" s="26" t="str">
        <f t="shared" si="4"/>
        <v>F9</v>
      </c>
      <c r="H31" s="26">
        <f t="shared" si="5"/>
        <v>2362763</v>
      </c>
      <c r="I31" s="26" t="str">
        <f t="shared" si="6"/>
        <v>F9</v>
      </c>
      <c r="J31" s="26" t="str">
        <f t="shared" si="7"/>
        <v>SI</v>
      </c>
      <c r="K31" s="26" t="s">
        <v>196</v>
      </c>
      <c r="M31" s="9" t="s">
        <v>39</v>
      </c>
      <c r="N31" s="10" t="s">
        <v>6</v>
      </c>
      <c r="O31" s="11">
        <v>2</v>
      </c>
      <c r="P31" s="12">
        <v>5</v>
      </c>
      <c r="Q31" s="27" t="s">
        <v>138</v>
      </c>
      <c r="R31" s="14">
        <v>2362744</v>
      </c>
      <c r="S31" s="45"/>
      <c r="T31" s="15" t="s">
        <v>77</v>
      </c>
      <c r="U31" s="16">
        <v>8</v>
      </c>
      <c r="V31" s="17" t="s">
        <v>87</v>
      </c>
      <c r="W31" s="17" t="s">
        <v>86</v>
      </c>
      <c r="X31" s="11" t="s">
        <v>51</v>
      </c>
      <c r="Y31" s="18">
        <v>46048</v>
      </c>
      <c r="Z31" s="19"/>
      <c r="AA31" s="46"/>
      <c r="AB31" s="20" t="s">
        <v>65</v>
      </c>
      <c r="AC31" s="10"/>
      <c r="AD31" s="48"/>
      <c r="AE31" s="9"/>
    </row>
    <row r="32" spans="1:31" x14ac:dyDescent="0.25">
      <c r="A32" t="s">
        <v>6</v>
      </c>
      <c r="B32">
        <v>2363184</v>
      </c>
      <c r="C32" t="s">
        <v>177</v>
      </c>
      <c r="D32">
        <v>8</v>
      </c>
      <c r="E32" t="s">
        <v>16</v>
      </c>
      <c r="F32" t="s">
        <v>178</v>
      </c>
      <c r="G32" s="26" t="e">
        <f t="shared" si="4"/>
        <v>#N/A</v>
      </c>
      <c r="H32" s="26" t="e">
        <f t="shared" si="5"/>
        <v>#N/A</v>
      </c>
      <c r="I32" s="26" t="e">
        <f t="shared" si="6"/>
        <v>#N/A</v>
      </c>
      <c r="J32" s="26" t="e">
        <f t="shared" si="7"/>
        <v>#N/A</v>
      </c>
      <c r="M32" s="9" t="s">
        <v>39</v>
      </c>
      <c r="N32" s="10" t="s">
        <v>6</v>
      </c>
      <c r="O32" s="11">
        <v>2</v>
      </c>
      <c r="P32" s="12">
        <v>5</v>
      </c>
      <c r="Q32" s="27" t="s">
        <v>143</v>
      </c>
      <c r="R32" s="14">
        <v>2362731</v>
      </c>
      <c r="S32" s="45"/>
      <c r="T32" s="15" t="s">
        <v>145</v>
      </c>
      <c r="U32" s="16">
        <v>8</v>
      </c>
      <c r="V32" s="17" t="s">
        <v>40</v>
      </c>
      <c r="W32" s="17" t="s">
        <v>41</v>
      </c>
      <c r="X32" s="11" t="s">
        <v>40</v>
      </c>
      <c r="Y32" s="18">
        <v>46048</v>
      </c>
      <c r="Z32" s="19"/>
      <c r="AA32" s="46"/>
      <c r="AB32" s="20" t="s">
        <v>166</v>
      </c>
      <c r="AC32" s="10"/>
      <c r="AD32" s="48"/>
      <c r="AE32" s="9"/>
    </row>
    <row r="33" spans="1:31" x14ac:dyDescent="0.25">
      <c r="A33" t="s">
        <v>6</v>
      </c>
      <c r="C33" t="s">
        <v>179</v>
      </c>
      <c r="D33">
        <v>8</v>
      </c>
      <c r="E33" t="s">
        <v>16</v>
      </c>
      <c r="F33" t="s">
        <v>19</v>
      </c>
      <c r="G33" s="26" t="e">
        <f t="shared" si="4"/>
        <v>#N/A</v>
      </c>
      <c r="H33" s="26" t="e">
        <f t="shared" si="5"/>
        <v>#N/A</v>
      </c>
      <c r="I33" s="26" t="e">
        <f t="shared" si="6"/>
        <v>#N/A</v>
      </c>
      <c r="J33" s="26" t="e">
        <f t="shared" si="7"/>
        <v>#N/A</v>
      </c>
      <c r="M33" s="9" t="s">
        <v>39</v>
      </c>
      <c r="N33" s="10" t="s">
        <v>6</v>
      </c>
      <c r="O33" s="11">
        <v>2</v>
      </c>
      <c r="P33" s="12">
        <v>5</v>
      </c>
      <c r="Q33" s="27" t="s">
        <v>142</v>
      </c>
      <c r="R33" s="14">
        <v>2362735</v>
      </c>
      <c r="S33" s="45"/>
      <c r="T33" s="15" t="s">
        <v>134</v>
      </c>
      <c r="U33" s="16">
        <v>8</v>
      </c>
      <c r="V33" s="17" t="s">
        <v>87</v>
      </c>
      <c r="W33" s="17" t="s">
        <v>88</v>
      </c>
      <c r="X33" s="11" t="s">
        <v>51</v>
      </c>
      <c r="Y33" s="18">
        <v>46048</v>
      </c>
      <c r="Z33" s="19"/>
      <c r="AA33" s="46"/>
      <c r="AB33" s="20" t="s">
        <v>65</v>
      </c>
      <c r="AC33" s="10"/>
      <c r="AD33" s="48"/>
      <c r="AE33" s="9"/>
    </row>
    <row r="34" spans="1:31" x14ac:dyDescent="0.25">
      <c r="A34" t="s">
        <v>6</v>
      </c>
      <c r="C34" t="s">
        <v>180</v>
      </c>
      <c r="D34">
        <v>8</v>
      </c>
      <c r="E34" t="s">
        <v>16</v>
      </c>
      <c r="F34" t="s">
        <v>152</v>
      </c>
      <c r="G34" s="26" t="e">
        <f t="shared" si="4"/>
        <v>#N/A</v>
      </c>
      <c r="H34" s="26" t="e">
        <f t="shared" si="5"/>
        <v>#N/A</v>
      </c>
      <c r="I34" s="26" t="e">
        <f t="shared" si="6"/>
        <v>#N/A</v>
      </c>
      <c r="J34" s="26" t="e">
        <f t="shared" si="7"/>
        <v>#N/A</v>
      </c>
      <c r="M34" s="9" t="s">
        <v>39</v>
      </c>
      <c r="N34" s="10" t="s">
        <v>6</v>
      </c>
      <c r="O34" s="11">
        <v>2</v>
      </c>
      <c r="P34" s="12">
        <v>5</v>
      </c>
      <c r="Q34" s="27" t="s">
        <v>114</v>
      </c>
      <c r="R34" s="14">
        <v>2362757</v>
      </c>
      <c r="S34" s="45"/>
      <c r="T34" s="15" t="s">
        <v>85</v>
      </c>
      <c r="U34" s="16">
        <v>8</v>
      </c>
      <c r="V34" s="17" t="s">
        <v>87</v>
      </c>
      <c r="W34" s="17" t="s">
        <v>88</v>
      </c>
      <c r="X34" s="11" t="s">
        <v>51</v>
      </c>
      <c r="Y34" s="18">
        <v>46048</v>
      </c>
      <c r="Z34" s="19"/>
      <c r="AA34" s="46"/>
      <c r="AB34" s="20" t="s">
        <v>65</v>
      </c>
      <c r="AC34" s="10"/>
      <c r="AD34" s="48"/>
      <c r="AE34" s="9"/>
    </row>
    <row r="35" spans="1:31" hidden="1" x14ac:dyDescent="0.25">
      <c r="A35" t="s">
        <v>6</v>
      </c>
      <c r="B35">
        <v>2362548</v>
      </c>
      <c r="C35" t="s">
        <v>135</v>
      </c>
      <c r="D35">
        <v>8</v>
      </c>
      <c r="E35" t="s">
        <v>16</v>
      </c>
      <c r="F35" t="s">
        <v>136</v>
      </c>
      <c r="G35" s="26" t="str">
        <f t="shared" si="4"/>
        <v>D7</v>
      </c>
      <c r="H35" s="26">
        <f t="shared" si="5"/>
        <v>2362548</v>
      </c>
      <c r="I35" s="26" t="str">
        <f t="shared" si="6"/>
        <v>D7</v>
      </c>
      <c r="J35" s="26" t="str">
        <f t="shared" si="7"/>
        <v>SI</v>
      </c>
      <c r="K35" t="s">
        <v>196</v>
      </c>
      <c r="M35" s="9" t="s">
        <v>39</v>
      </c>
      <c r="N35" s="10" t="s">
        <v>6</v>
      </c>
      <c r="O35" s="11">
        <v>1.1000000000000001</v>
      </c>
      <c r="P35" s="12">
        <v>5</v>
      </c>
      <c r="Q35" s="27" t="s">
        <v>115</v>
      </c>
      <c r="R35" s="14">
        <v>2362760</v>
      </c>
      <c r="S35" s="45"/>
      <c r="T35" s="15" t="s">
        <v>24</v>
      </c>
      <c r="U35" s="16">
        <v>8</v>
      </c>
      <c r="V35" s="17" t="s">
        <v>53</v>
      </c>
      <c r="W35" s="17" t="s">
        <v>54</v>
      </c>
      <c r="X35" s="11" t="s">
        <v>49</v>
      </c>
      <c r="Y35" s="18">
        <v>46048</v>
      </c>
      <c r="Z35" s="19"/>
      <c r="AA35" s="46"/>
      <c r="AB35" s="20" t="s">
        <v>69</v>
      </c>
      <c r="AC35" s="10"/>
      <c r="AD35" s="48"/>
      <c r="AE35" s="9"/>
    </row>
    <row r="36" spans="1:31" hidden="1" x14ac:dyDescent="0.25">
      <c r="A36" t="s">
        <v>6</v>
      </c>
      <c r="B36">
        <v>2362741</v>
      </c>
      <c r="C36" t="s">
        <v>137</v>
      </c>
      <c r="D36">
        <v>8</v>
      </c>
      <c r="E36" t="s">
        <v>16</v>
      </c>
      <c r="F36" t="s">
        <v>17</v>
      </c>
      <c r="G36" s="26" t="str">
        <f t="shared" si="4"/>
        <v>A9</v>
      </c>
      <c r="H36" s="26">
        <f t="shared" si="5"/>
        <v>2362741</v>
      </c>
      <c r="I36" s="26" t="str">
        <f t="shared" si="6"/>
        <v>A9</v>
      </c>
      <c r="J36" s="26" t="str">
        <f t="shared" si="7"/>
        <v>SI</v>
      </c>
      <c r="K36" t="s">
        <v>196</v>
      </c>
      <c r="M36" s="9" t="s">
        <v>39</v>
      </c>
      <c r="N36" s="10" t="s">
        <v>6</v>
      </c>
      <c r="O36" s="11">
        <v>1.1000000000000001</v>
      </c>
      <c r="P36" s="12">
        <v>5</v>
      </c>
      <c r="Q36" s="27" t="s">
        <v>133</v>
      </c>
      <c r="R36" s="14">
        <v>2362763</v>
      </c>
      <c r="S36" s="45"/>
      <c r="T36" s="15" t="s">
        <v>134</v>
      </c>
      <c r="U36" s="16">
        <v>8</v>
      </c>
      <c r="V36" s="17" t="s">
        <v>45</v>
      </c>
      <c r="W36" s="17" t="s">
        <v>46</v>
      </c>
      <c r="X36" s="11" t="s">
        <v>71</v>
      </c>
      <c r="Y36" s="18">
        <v>46048</v>
      </c>
      <c r="Z36" s="19"/>
      <c r="AA36" s="46"/>
      <c r="AB36" s="20" t="s">
        <v>69</v>
      </c>
      <c r="AC36" s="10"/>
      <c r="AD36" s="48"/>
      <c r="AE36" s="9"/>
    </row>
    <row r="37" spans="1:31" x14ac:dyDescent="0.25">
      <c r="A37" t="s">
        <v>6</v>
      </c>
      <c r="C37" t="s">
        <v>181</v>
      </c>
      <c r="D37">
        <v>8</v>
      </c>
      <c r="E37" t="s">
        <v>16</v>
      </c>
      <c r="F37" t="s">
        <v>145</v>
      </c>
      <c r="G37" s="26" t="e">
        <f t="shared" si="4"/>
        <v>#N/A</v>
      </c>
      <c r="H37" s="26" t="e">
        <f t="shared" si="5"/>
        <v>#N/A</v>
      </c>
      <c r="I37" s="26" t="e">
        <f t="shared" si="6"/>
        <v>#N/A</v>
      </c>
      <c r="J37" s="26" t="e">
        <f t="shared" si="7"/>
        <v>#N/A</v>
      </c>
      <c r="M37" s="9" t="s">
        <v>39</v>
      </c>
      <c r="N37" s="10" t="s">
        <v>6</v>
      </c>
      <c r="O37" s="11">
        <v>2</v>
      </c>
      <c r="P37" s="12">
        <v>5</v>
      </c>
      <c r="Q37" s="27" t="s">
        <v>131</v>
      </c>
      <c r="R37" s="14">
        <v>2362766</v>
      </c>
      <c r="S37" s="45"/>
      <c r="T37" s="15" t="s">
        <v>19</v>
      </c>
      <c r="U37" s="16">
        <v>8</v>
      </c>
      <c r="V37" s="17" t="s">
        <v>45</v>
      </c>
      <c r="W37" s="17" t="s">
        <v>46</v>
      </c>
      <c r="X37" s="11" t="s">
        <v>71</v>
      </c>
      <c r="Y37" s="18">
        <v>46048</v>
      </c>
      <c r="Z37" s="19"/>
      <c r="AA37" s="46"/>
      <c r="AB37" s="20" t="s">
        <v>166</v>
      </c>
      <c r="AC37" s="10"/>
      <c r="AD37" s="48"/>
      <c r="AE37" s="9"/>
    </row>
    <row r="38" spans="1:31" hidden="1" x14ac:dyDescent="0.25">
      <c r="A38" t="s">
        <v>6</v>
      </c>
      <c r="B38">
        <v>2362744</v>
      </c>
      <c r="C38" t="s">
        <v>138</v>
      </c>
      <c r="D38">
        <v>8</v>
      </c>
      <c r="E38" t="s">
        <v>16</v>
      </c>
      <c r="F38" t="s">
        <v>77</v>
      </c>
      <c r="G38" s="26" t="str">
        <f t="shared" si="4"/>
        <v>E8</v>
      </c>
      <c r="H38" s="26">
        <f t="shared" si="5"/>
        <v>2362744</v>
      </c>
      <c r="I38" s="26" t="str">
        <f t="shared" si="6"/>
        <v>E8</v>
      </c>
      <c r="J38" s="26" t="str">
        <f t="shared" si="7"/>
        <v>SI</v>
      </c>
      <c r="K38" t="s">
        <v>196</v>
      </c>
      <c r="M38" s="9" t="s">
        <v>39</v>
      </c>
      <c r="N38" s="10" t="s">
        <v>6</v>
      </c>
      <c r="O38" s="11">
        <v>1.1000000000000001</v>
      </c>
      <c r="P38" s="12">
        <v>5</v>
      </c>
      <c r="Q38" s="27" t="s">
        <v>132</v>
      </c>
      <c r="R38" s="14">
        <v>2362769</v>
      </c>
      <c r="S38" s="45"/>
      <c r="T38" s="15" t="s">
        <v>17</v>
      </c>
      <c r="U38" s="16">
        <v>8</v>
      </c>
      <c r="V38" s="17" t="s">
        <v>45</v>
      </c>
      <c r="W38" s="17" t="s">
        <v>46</v>
      </c>
      <c r="X38" s="11" t="s">
        <v>71</v>
      </c>
      <c r="Y38" s="18">
        <v>46048</v>
      </c>
      <c r="Z38" s="19"/>
      <c r="AA38" s="46"/>
      <c r="AB38" s="20" t="s">
        <v>69</v>
      </c>
      <c r="AC38" s="10"/>
      <c r="AD38" s="48"/>
      <c r="AE38" s="9"/>
    </row>
    <row r="39" spans="1:31" x14ac:dyDescent="0.25">
      <c r="A39" t="s">
        <v>6</v>
      </c>
      <c r="B39">
        <v>2363190</v>
      </c>
      <c r="C39" t="s">
        <v>182</v>
      </c>
      <c r="D39">
        <v>8</v>
      </c>
      <c r="E39" t="s">
        <v>16</v>
      </c>
      <c r="F39" t="s">
        <v>92</v>
      </c>
      <c r="G39" s="26" t="e">
        <f t="shared" si="4"/>
        <v>#N/A</v>
      </c>
      <c r="H39" s="26" t="e">
        <f t="shared" si="5"/>
        <v>#N/A</v>
      </c>
      <c r="I39" s="26" t="e">
        <f t="shared" si="6"/>
        <v>#N/A</v>
      </c>
      <c r="J39" s="26" t="e">
        <f t="shared" si="7"/>
        <v>#N/A</v>
      </c>
      <c r="M39" s="9" t="s">
        <v>39</v>
      </c>
      <c r="N39" s="10" t="s">
        <v>6</v>
      </c>
      <c r="O39" s="11">
        <v>2</v>
      </c>
      <c r="P39" s="12">
        <v>5</v>
      </c>
      <c r="Q39" s="27" t="s">
        <v>120</v>
      </c>
      <c r="R39" s="14">
        <v>2362772</v>
      </c>
      <c r="S39" s="45"/>
      <c r="T39" s="15" t="s">
        <v>76</v>
      </c>
      <c r="U39" s="16">
        <v>8</v>
      </c>
      <c r="V39" s="17" t="s">
        <v>56</v>
      </c>
      <c r="W39" s="17" t="s">
        <v>57</v>
      </c>
      <c r="X39" s="11" t="s">
        <v>51</v>
      </c>
      <c r="Y39" s="18">
        <v>46048</v>
      </c>
      <c r="Z39" s="19"/>
      <c r="AA39" s="46"/>
      <c r="AB39" s="20" t="s">
        <v>65</v>
      </c>
      <c r="AC39" s="10"/>
      <c r="AD39" s="48"/>
      <c r="AE39" s="9"/>
    </row>
    <row r="40" spans="1:31" hidden="1" x14ac:dyDescent="0.25">
      <c r="A40" t="s">
        <v>6</v>
      </c>
      <c r="B40">
        <v>2362414</v>
      </c>
      <c r="C40" t="s">
        <v>140</v>
      </c>
      <c r="D40">
        <v>8</v>
      </c>
      <c r="E40" t="s">
        <v>16</v>
      </c>
      <c r="F40" t="s">
        <v>70</v>
      </c>
      <c r="G40" s="26" t="str">
        <f t="shared" si="4"/>
        <v>E9</v>
      </c>
      <c r="H40" s="26">
        <f t="shared" si="5"/>
        <v>2362414</v>
      </c>
      <c r="I40" s="26" t="str">
        <f t="shared" si="6"/>
        <v>E9</v>
      </c>
      <c r="J40" s="26" t="str">
        <f t="shared" si="7"/>
        <v>SI</v>
      </c>
      <c r="K40" t="s">
        <v>196</v>
      </c>
      <c r="M40" s="9" t="s">
        <v>39</v>
      </c>
      <c r="N40" s="10" t="s">
        <v>6</v>
      </c>
      <c r="O40" s="11">
        <v>3</v>
      </c>
      <c r="P40" s="12">
        <v>5</v>
      </c>
      <c r="Q40" s="27" t="s">
        <v>105</v>
      </c>
      <c r="R40" s="14">
        <v>2357885</v>
      </c>
      <c r="S40" s="45"/>
      <c r="T40" s="15" t="s">
        <v>106</v>
      </c>
      <c r="U40" s="16">
        <v>8</v>
      </c>
      <c r="V40" s="17" t="e">
        <v>#N/A</v>
      </c>
      <c r="W40" s="17" t="e">
        <v>#N/A</v>
      </c>
      <c r="X40" s="11" t="e">
        <v>#N/A</v>
      </c>
      <c r="Y40" s="18">
        <v>46049</v>
      </c>
      <c r="Z40" s="19"/>
      <c r="AA40" s="46"/>
      <c r="AB40" s="20" t="s">
        <v>193</v>
      </c>
      <c r="AC40" s="10"/>
      <c r="AD40" s="48"/>
      <c r="AE40" s="9"/>
    </row>
    <row r="41" spans="1:31" hidden="1" x14ac:dyDescent="0.25">
      <c r="A41" t="s">
        <v>6</v>
      </c>
      <c r="B41">
        <v>2362551</v>
      </c>
      <c r="C41" t="s">
        <v>141</v>
      </c>
      <c r="D41">
        <v>8</v>
      </c>
      <c r="E41" t="s">
        <v>16</v>
      </c>
      <c r="F41" t="s">
        <v>85</v>
      </c>
      <c r="G41" s="26" t="str">
        <f t="shared" si="4"/>
        <v>D9</v>
      </c>
      <c r="H41" s="26">
        <f t="shared" si="5"/>
        <v>2362551</v>
      </c>
      <c r="I41" s="26" t="str">
        <f t="shared" si="6"/>
        <v>D9</v>
      </c>
      <c r="J41" s="26" t="str">
        <f t="shared" si="7"/>
        <v>SI</v>
      </c>
      <c r="K41" t="s">
        <v>196</v>
      </c>
      <c r="M41" s="9" t="s">
        <v>39</v>
      </c>
      <c r="N41" s="10" t="s">
        <v>6</v>
      </c>
      <c r="O41" s="11">
        <v>5</v>
      </c>
      <c r="P41" s="12">
        <v>5</v>
      </c>
      <c r="Q41" s="27" t="s">
        <v>107</v>
      </c>
      <c r="R41" s="14">
        <v>2361285</v>
      </c>
      <c r="S41" s="45"/>
      <c r="T41" s="15" t="s">
        <v>108</v>
      </c>
      <c r="U41" s="16">
        <v>8</v>
      </c>
      <c r="V41" s="17" t="s">
        <v>42</v>
      </c>
      <c r="W41" s="17" t="s">
        <v>43</v>
      </c>
      <c r="X41" s="11" t="s">
        <v>44</v>
      </c>
      <c r="Y41" s="18">
        <v>46049</v>
      </c>
      <c r="Z41" s="19"/>
      <c r="AA41" s="46"/>
      <c r="AB41" s="20" t="s">
        <v>52</v>
      </c>
      <c r="AC41" s="10"/>
      <c r="AD41" s="48"/>
      <c r="AE41" s="9"/>
    </row>
    <row r="42" spans="1:31" hidden="1" x14ac:dyDescent="0.25">
      <c r="A42" t="s">
        <v>6</v>
      </c>
      <c r="B42">
        <v>2362735</v>
      </c>
      <c r="C42" t="s">
        <v>142</v>
      </c>
      <c r="D42">
        <v>8</v>
      </c>
      <c r="E42" t="s">
        <v>16</v>
      </c>
      <c r="F42" t="s">
        <v>134</v>
      </c>
      <c r="G42" s="26" t="str">
        <f t="shared" si="4"/>
        <v>F9</v>
      </c>
      <c r="H42" s="26">
        <f t="shared" si="5"/>
        <v>2362735</v>
      </c>
      <c r="I42" s="26" t="str">
        <f t="shared" si="6"/>
        <v>F9</v>
      </c>
      <c r="J42" s="26" t="str">
        <f t="shared" si="7"/>
        <v>SI</v>
      </c>
      <c r="K42" t="s">
        <v>196</v>
      </c>
      <c r="M42" s="9" t="s">
        <v>39</v>
      </c>
      <c r="N42" s="10" t="s">
        <v>6</v>
      </c>
      <c r="O42" s="11">
        <v>2</v>
      </c>
      <c r="P42" s="12">
        <v>5</v>
      </c>
      <c r="Q42" s="27" t="s">
        <v>116</v>
      </c>
      <c r="R42" s="14">
        <v>2362957</v>
      </c>
      <c r="S42" s="45"/>
      <c r="T42" s="15" t="s">
        <v>117</v>
      </c>
      <c r="U42" s="16">
        <v>8</v>
      </c>
      <c r="V42" s="17" t="s">
        <v>56</v>
      </c>
      <c r="W42" s="17" t="s">
        <v>57</v>
      </c>
      <c r="X42" s="11" t="s">
        <v>51</v>
      </c>
      <c r="Y42" s="18">
        <v>46049</v>
      </c>
      <c r="Z42" s="19"/>
      <c r="AA42" s="46"/>
      <c r="AB42" s="20" t="s">
        <v>65</v>
      </c>
      <c r="AC42" s="10" t="s">
        <v>16</v>
      </c>
      <c r="AD42" s="48"/>
      <c r="AE42" s="9"/>
    </row>
    <row r="43" spans="1:31" x14ac:dyDescent="0.25">
      <c r="A43" t="s">
        <v>6</v>
      </c>
      <c r="C43" t="s">
        <v>183</v>
      </c>
      <c r="D43">
        <v>16</v>
      </c>
      <c r="E43" t="s">
        <v>16</v>
      </c>
      <c r="F43" t="s">
        <v>184</v>
      </c>
      <c r="G43" s="26" t="e">
        <f t="shared" si="4"/>
        <v>#N/A</v>
      </c>
      <c r="H43" s="26" t="e">
        <f t="shared" si="5"/>
        <v>#N/A</v>
      </c>
      <c r="I43" s="26" t="e">
        <f t="shared" si="6"/>
        <v>#N/A</v>
      </c>
      <c r="J43" s="26" t="e">
        <f t="shared" si="7"/>
        <v>#N/A</v>
      </c>
      <c r="M43" s="9" t="s">
        <v>39</v>
      </c>
      <c r="N43" s="10" t="s">
        <v>6</v>
      </c>
      <c r="O43" s="11">
        <v>2</v>
      </c>
      <c r="P43" s="12">
        <v>5</v>
      </c>
      <c r="Q43" s="27" t="s">
        <v>118</v>
      </c>
      <c r="R43" s="14">
        <v>2362960</v>
      </c>
      <c r="S43" s="45"/>
      <c r="T43" s="15" t="s">
        <v>17</v>
      </c>
      <c r="U43" s="16">
        <v>8</v>
      </c>
      <c r="V43" s="17" t="s">
        <v>56</v>
      </c>
      <c r="W43" s="17" t="s">
        <v>57</v>
      </c>
      <c r="X43" s="11" t="s">
        <v>51</v>
      </c>
      <c r="Y43" s="18">
        <v>46049</v>
      </c>
      <c r="Z43" s="19"/>
      <c r="AA43" s="46"/>
      <c r="AB43" s="20" t="s">
        <v>65</v>
      </c>
      <c r="AC43" s="10" t="s">
        <v>16</v>
      </c>
      <c r="AD43" s="48"/>
      <c r="AE43" s="9"/>
    </row>
    <row r="44" spans="1:31" x14ac:dyDescent="0.25">
      <c r="A44" t="s">
        <v>6</v>
      </c>
      <c r="C44" t="s">
        <v>185</v>
      </c>
      <c r="D44">
        <v>8</v>
      </c>
      <c r="E44" t="s">
        <v>16</v>
      </c>
      <c r="F44" t="s">
        <v>21</v>
      </c>
      <c r="G44" s="26" t="e">
        <f t="shared" si="4"/>
        <v>#N/A</v>
      </c>
      <c r="H44" s="26" t="e">
        <f t="shared" si="5"/>
        <v>#N/A</v>
      </c>
      <c r="I44" s="26" t="e">
        <f t="shared" si="6"/>
        <v>#N/A</v>
      </c>
      <c r="J44" s="26" t="e">
        <f t="shared" si="7"/>
        <v>#N/A</v>
      </c>
      <c r="M44" s="9" t="s">
        <v>39</v>
      </c>
      <c r="N44" s="10" t="s">
        <v>6</v>
      </c>
      <c r="O44" s="11">
        <v>2</v>
      </c>
      <c r="P44" s="12">
        <v>5</v>
      </c>
      <c r="Q44" s="27" t="s">
        <v>119</v>
      </c>
      <c r="R44" s="14">
        <v>2362954</v>
      </c>
      <c r="S44" s="45"/>
      <c r="T44" s="15" t="s">
        <v>20</v>
      </c>
      <c r="U44" s="16">
        <v>8</v>
      </c>
      <c r="V44" s="17" t="s">
        <v>56</v>
      </c>
      <c r="W44" s="17" t="s">
        <v>57</v>
      </c>
      <c r="X44" s="11" t="s">
        <v>51</v>
      </c>
      <c r="Y44" s="18">
        <v>46049</v>
      </c>
      <c r="Z44" s="19"/>
      <c r="AA44" s="46"/>
      <c r="AB44" s="20" t="s">
        <v>65</v>
      </c>
      <c r="AC44" s="10" t="s">
        <v>16</v>
      </c>
      <c r="AD44" s="48"/>
      <c r="AE44" s="9"/>
    </row>
    <row r="45" spans="1:31" hidden="1" x14ac:dyDescent="0.25">
      <c r="A45" t="s">
        <v>6</v>
      </c>
      <c r="B45">
        <v>2362731</v>
      </c>
      <c r="C45" t="s">
        <v>143</v>
      </c>
      <c r="D45">
        <v>8</v>
      </c>
      <c r="E45" t="s">
        <v>16</v>
      </c>
      <c r="F45" t="s">
        <v>145</v>
      </c>
      <c r="G45" s="26" t="str">
        <f t="shared" si="4"/>
        <v>F5</v>
      </c>
      <c r="H45" s="26">
        <f t="shared" si="5"/>
        <v>2362502</v>
      </c>
      <c r="I45" s="26" t="str">
        <f t="shared" si="6"/>
        <v>F4</v>
      </c>
      <c r="J45" s="26" t="str">
        <f t="shared" si="7"/>
        <v>NO ES IGUAL</v>
      </c>
      <c r="K45" t="s">
        <v>196</v>
      </c>
      <c r="M45" s="9" t="s">
        <v>39</v>
      </c>
      <c r="N45" s="10" t="s">
        <v>6</v>
      </c>
      <c r="O45" s="11" t="e">
        <v>#N/A</v>
      </c>
      <c r="P45" s="12">
        <v>5</v>
      </c>
      <c r="Q45" s="27" t="s">
        <v>121</v>
      </c>
      <c r="R45" s="14"/>
      <c r="S45" s="45"/>
      <c r="T45" s="15" t="s">
        <v>18</v>
      </c>
      <c r="U45" s="16">
        <v>8</v>
      </c>
      <c r="V45" s="17" t="s">
        <v>56</v>
      </c>
      <c r="W45" s="17" t="s">
        <v>57</v>
      </c>
      <c r="X45" s="11" t="s">
        <v>51</v>
      </c>
      <c r="Y45" s="18">
        <v>46049</v>
      </c>
      <c r="Z45" s="19"/>
      <c r="AA45" s="46"/>
      <c r="AB45" s="20" t="s">
        <v>68</v>
      </c>
      <c r="AC45" s="10" t="s">
        <v>16</v>
      </c>
      <c r="AD45" s="48"/>
      <c r="AE45" s="9"/>
    </row>
    <row r="46" spans="1:31" hidden="1" x14ac:dyDescent="0.25">
      <c r="A46" t="s">
        <v>6</v>
      </c>
      <c r="B46">
        <v>2362417</v>
      </c>
      <c r="C46" t="s">
        <v>146</v>
      </c>
      <c r="D46">
        <v>8</v>
      </c>
      <c r="E46" t="s">
        <v>16</v>
      </c>
      <c r="F46" t="s">
        <v>20</v>
      </c>
      <c r="G46" s="26" t="str">
        <f t="shared" si="4"/>
        <v>BA</v>
      </c>
      <c r="H46" s="26">
        <f t="shared" si="5"/>
        <v>2362417</v>
      </c>
      <c r="I46" s="26" t="str">
        <f t="shared" si="6"/>
        <v>BA</v>
      </c>
      <c r="J46" s="26" t="str">
        <f t="shared" si="7"/>
        <v>SI</v>
      </c>
      <c r="K46" t="s">
        <v>196</v>
      </c>
      <c r="M46" s="9" t="s">
        <v>39</v>
      </c>
      <c r="N46" s="10" t="s">
        <v>6</v>
      </c>
      <c r="O46" s="11">
        <v>2</v>
      </c>
      <c r="P46" s="12">
        <v>5</v>
      </c>
      <c r="Q46" s="27" t="s">
        <v>122</v>
      </c>
      <c r="R46" s="14">
        <v>2362944</v>
      </c>
      <c r="S46" s="45"/>
      <c r="T46" s="15" t="s">
        <v>123</v>
      </c>
      <c r="U46" s="16">
        <v>24</v>
      </c>
      <c r="V46" s="17" t="s">
        <v>56</v>
      </c>
      <c r="W46" s="17" t="s">
        <v>57</v>
      </c>
      <c r="X46" s="11" t="s">
        <v>51</v>
      </c>
      <c r="Y46" s="18">
        <v>46049</v>
      </c>
      <c r="Z46" s="19"/>
      <c r="AA46" s="46"/>
      <c r="AB46" s="20" t="s">
        <v>65</v>
      </c>
      <c r="AC46" s="10" t="s">
        <v>16</v>
      </c>
      <c r="AD46" s="48"/>
      <c r="AE46" s="9"/>
    </row>
    <row r="47" spans="1:31" hidden="1" x14ac:dyDescent="0.25">
      <c r="A47" t="s">
        <v>6</v>
      </c>
      <c r="B47">
        <v>2353601</v>
      </c>
      <c r="C47" t="s">
        <v>23</v>
      </c>
      <c r="D47">
        <v>8</v>
      </c>
      <c r="E47" t="s">
        <v>16</v>
      </c>
      <c r="F47" t="s">
        <v>20</v>
      </c>
      <c r="G47" s="26" t="str">
        <f t="shared" si="4"/>
        <v>BA</v>
      </c>
      <c r="H47" s="26">
        <f t="shared" si="5"/>
        <v>2353601</v>
      </c>
      <c r="I47" s="26" t="str">
        <f t="shared" si="6"/>
        <v>BA</v>
      </c>
      <c r="J47" s="26" t="str">
        <f t="shared" si="7"/>
        <v>SI</v>
      </c>
      <c r="K47" t="s">
        <v>196</v>
      </c>
      <c r="M47" s="9" t="s">
        <v>39</v>
      </c>
      <c r="N47" s="10" t="s">
        <v>6</v>
      </c>
      <c r="O47" s="11" t="e">
        <v>#N/A</v>
      </c>
      <c r="P47" s="12">
        <v>5</v>
      </c>
      <c r="Q47" s="27" t="s">
        <v>150</v>
      </c>
      <c r="R47" s="14"/>
      <c r="S47" s="45"/>
      <c r="T47" s="15" t="s">
        <v>80</v>
      </c>
      <c r="U47" s="16">
        <v>8</v>
      </c>
      <c r="V47" s="17" t="s">
        <v>56</v>
      </c>
      <c r="W47" s="17" t="s">
        <v>57</v>
      </c>
      <c r="X47" s="11" t="s">
        <v>51</v>
      </c>
      <c r="Y47" s="18">
        <v>46049</v>
      </c>
      <c r="Z47" s="19"/>
      <c r="AA47" s="46"/>
      <c r="AB47" s="20" t="s">
        <v>68</v>
      </c>
      <c r="AC47" s="10" t="s">
        <v>16</v>
      </c>
      <c r="AD47" s="48"/>
      <c r="AE47" s="9"/>
    </row>
    <row r="48" spans="1:31" hidden="1" x14ac:dyDescent="0.25">
      <c r="A48" t="s">
        <v>6</v>
      </c>
      <c r="B48">
        <v>2362517</v>
      </c>
      <c r="C48" t="s">
        <v>147</v>
      </c>
      <c r="D48">
        <v>8</v>
      </c>
      <c r="E48" t="s">
        <v>16</v>
      </c>
      <c r="F48" t="s">
        <v>19</v>
      </c>
      <c r="G48" s="26" t="str">
        <f t="shared" si="4"/>
        <v>B9</v>
      </c>
      <c r="H48" s="26">
        <f t="shared" si="5"/>
        <v>2362517</v>
      </c>
      <c r="I48" s="26" t="str">
        <f t="shared" si="6"/>
        <v>B9</v>
      </c>
      <c r="J48" s="26" t="str">
        <f t="shared" si="7"/>
        <v>SI</v>
      </c>
      <c r="K48" t="s">
        <v>196</v>
      </c>
      <c r="M48" s="9" t="s">
        <v>39</v>
      </c>
      <c r="N48" s="10" t="s">
        <v>6</v>
      </c>
      <c r="O48" s="11">
        <v>2</v>
      </c>
      <c r="P48" s="12">
        <v>5</v>
      </c>
      <c r="Q48" s="27" t="s">
        <v>158</v>
      </c>
      <c r="R48" s="14">
        <v>2362775</v>
      </c>
      <c r="S48" s="45"/>
      <c r="T48" s="15" t="s">
        <v>159</v>
      </c>
      <c r="U48" s="16">
        <v>16</v>
      </c>
      <c r="V48" s="17" t="s">
        <v>40</v>
      </c>
      <c r="W48" s="17" t="s">
        <v>41</v>
      </c>
      <c r="X48" s="11" t="s">
        <v>40</v>
      </c>
      <c r="Y48" s="18">
        <v>46049</v>
      </c>
      <c r="Z48" s="19"/>
      <c r="AA48" s="46"/>
      <c r="AB48" s="20" t="s">
        <v>166</v>
      </c>
      <c r="AC48" s="10" t="s">
        <v>16</v>
      </c>
      <c r="AD48" s="48"/>
      <c r="AE48" s="9"/>
    </row>
    <row r="49" spans="1:31" hidden="1" x14ac:dyDescent="0.25">
      <c r="A49" t="s">
        <v>6</v>
      </c>
      <c r="B49">
        <v>2362521</v>
      </c>
      <c r="C49" t="s">
        <v>148</v>
      </c>
      <c r="D49">
        <v>8</v>
      </c>
      <c r="E49" t="s">
        <v>16</v>
      </c>
      <c r="F49" t="s">
        <v>18</v>
      </c>
      <c r="G49" s="26" t="str">
        <f t="shared" si="4"/>
        <v>C9</v>
      </c>
      <c r="H49" s="26">
        <f t="shared" si="5"/>
        <v>2362521</v>
      </c>
      <c r="I49" s="26" t="str">
        <f t="shared" si="6"/>
        <v>C9</v>
      </c>
      <c r="J49" s="26" t="str">
        <f t="shared" si="7"/>
        <v>SI</v>
      </c>
      <c r="K49" t="s">
        <v>196</v>
      </c>
      <c r="M49" s="9" t="s">
        <v>39</v>
      </c>
      <c r="N49" s="10" t="s">
        <v>6</v>
      </c>
      <c r="O49" s="11">
        <v>2</v>
      </c>
      <c r="P49" s="12">
        <v>5</v>
      </c>
      <c r="Q49" s="27" t="s">
        <v>160</v>
      </c>
      <c r="R49" s="14">
        <v>2362948</v>
      </c>
      <c r="S49" s="45"/>
      <c r="T49" s="15" t="s">
        <v>161</v>
      </c>
      <c r="U49" s="16">
        <v>8</v>
      </c>
      <c r="V49" s="17" t="s">
        <v>42</v>
      </c>
      <c r="W49" s="17" t="s">
        <v>43</v>
      </c>
      <c r="X49" s="11" t="s">
        <v>51</v>
      </c>
      <c r="Y49" s="18">
        <v>46049</v>
      </c>
      <c r="Z49" s="19"/>
      <c r="AA49" s="46"/>
      <c r="AB49" s="20" t="s">
        <v>65</v>
      </c>
      <c r="AC49" s="10" t="s">
        <v>16</v>
      </c>
      <c r="AD49" s="48"/>
      <c r="AE49" s="9"/>
    </row>
    <row r="50" spans="1:31" hidden="1" x14ac:dyDescent="0.25">
      <c r="A50" t="s">
        <v>6</v>
      </c>
      <c r="B50">
        <v>2363175</v>
      </c>
      <c r="C50" t="s">
        <v>150</v>
      </c>
      <c r="D50">
        <v>8</v>
      </c>
      <c r="E50" t="s">
        <v>16</v>
      </c>
      <c r="F50" t="s">
        <v>80</v>
      </c>
      <c r="G50" s="26" t="e">
        <f t="shared" si="4"/>
        <v>#N/A</v>
      </c>
      <c r="H50" s="26">
        <f t="shared" si="5"/>
        <v>0</v>
      </c>
      <c r="I50" s="26" t="str">
        <f t="shared" si="6"/>
        <v>C6</v>
      </c>
      <c r="J50" s="26" t="str">
        <f t="shared" si="7"/>
        <v>NO ES IGUAL</v>
      </c>
      <c r="K50" t="s">
        <v>197</v>
      </c>
      <c r="M50" s="9" t="s">
        <v>39</v>
      </c>
      <c r="N50" s="10" t="s">
        <v>6</v>
      </c>
      <c r="O50" s="11" t="e">
        <v>#N/A</v>
      </c>
      <c r="P50" s="12">
        <v>5</v>
      </c>
      <c r="Q50" s="27" t="s">
        <v>95</v>
      </c>
      <c r="R50" s="14"/>
      <c r="S50" s="45"/>
      <c r="T50" s="15" t="s">
        <v>17</v>
      </c>
      <c r="U50" s="16">
        <v>8</v>
      </c>
      <c r="V50" s="17" t="s">
        <v>56</v>
      </c>
      <c r="W50" s="17" t="s">
        <v>57</v>
      </c>
      <c r="X50" s="11" t="s">
        <v>51</v>
      </c>
      <c r="Y50" s="18">
        <v>46044</v>
      </c>
      <c r="Z50" s="19">
        <v>1</v>
      </c>
      <c r="AA50" s="18"/>
      <c r="AB50" s="20" t="s">
        <v>68</v>
      </c>
      <c r="AC50" s="10" t="s">
        <v>16</v>
      </c>
      <c r="AD50" s="24"/>
      <c r="AE50" s="9"/>
    </row>
    <row r="51" spans="1:31" x14ac:dyDescent="0.25">
      <c r="A51" t="s">
        <v>6</v>
      </c>
      <c r="C51" t="s">
        <v>186</v>
      </c>
      <c r="D51">
        <v>8</v>
      </c>
      <c r="E51" t="s">
        <v>16</v>
      </c>
      <c r="F51" t="s">
        <v>81</v>
      </c>
      <c r="G51" s="26" t="e">
        <f t="shared" si="4"/>
        <v>#N/A</v>
      </c>
      <c r="H51" s="26" t="e">
        <f t="shared" si="5"/>
        <v>#N/A</v>
      </c>
      <c r="I51" s="26" t="e">
        <f t="shared" si="6"/>
        <v>#N/A</v>
      </c>
      <c r="J51" s="26" t="e">
        <f t="shared" si="7"/>
        <v>#N/A</v>
      </c>
      <c r="M51" s="9" t="s">
        <v>39</v>
      </c>
      <c r="N51" s="10" t="s">
        <v>60</v>
      </c>
      <c r="O51" s="11">
        <v>5</v>
      </c>
      <c r="P51" s="12">
        <v>5</v>
      </c>
      <c r="Q51" s="27" t="s">
        <v>12</v>
      </c>
      <c r="R51" s="14">
        <v>2353935</v>
      </c>
      <c r="S51" s="45">
        <v>1</v>
      </c>
      <c r="T51" s="15" t="s">
        <v>13</v>
      </c>
      <c r="U51" s="16">
        <v>8</v>
      </c>
      <c r="V51" s="17" t="s">
        <v>42</v>
      </c>
      <c r="W51" s="17" t="s">
        <v>43</v>
      </c>
      <c r="X51" s="11" t="s">
        <v>51</v>
      </c>
      <c r="Y51" s="18">
        <v>45999</v>
      </c>
      <c r="Z51" s="19">
        <v>4</v>
      </c>
      <c r="AA51" s="18"/>
      <c r="AB51" s="20" t="s">
        <v>52</v>
      </c>
      <c r="AC51" s="10" t="s">
        <v>63</v>
      </c>
      <c r="AD51" s="24"/>
      <c r="AE51" s="9"/>
    </row>
    <row r="52" spans="1:31" hidden="1" x14ac:dyDescent="0.25">
      <c r="A52" t="s">
        <v>6</v>
      </c>
      <c r="B52">
        <v>2361506</v>
      </c>
      <c r="C52" t="s">
        <v>78</v>
      </c>
      <c r="D52">
        <v>8</v>
      </c>
      <c r="E52" t="s">
        <v>16</v>
      </c>
      <c r="F52" t="s">
        <v>79</v>
      </c>
      <c r="G52" s="26" t="str">
        <f t="shared" si="4"/>
        <v>A3</v>
      </c>
      <c r="H52" s="26">
        <f t="shared" si="5"/>
        <v>2361506</v>
      </c>
      <c r="I52" s="26" t="str">
        <f t="shared" si="6"/>
        <v>A3</v>
      </c>
      <c r="J52" s="26" t="str">
        <f t="shared" si="7"/>
        <v>SI</v>
      </c>
      <c r="K52" t="s">
        <v>196</v>
      </c>
      <c r="M52" s="9" t="s">
        <v>39</v>
      </c>
      <c r="N52" s="10" t="s">
        <v>6</v>
      </c>
      <c r="O52" s="11">
        <v>5</v>
      </c>
      <c r="P52" s="12">
        <v>5</v>
      </c>
      <c r="Q52" s="27" t="s">
        <v>10</v>
      </c>
      <c r="R52" s="14">
        <v>2343502</v>
      </c>
      <c r="S52" s="45"/>
      <c r="T52" s="15" t="s">
        <v>11</v>
      </c>
      <c r="U52" s="16">
        <v>16</v>
      </c>
      <c r="V52" s="17" t="s">
        <v>42</v>
      </c>
      <c r="W52" s="17" t="s">
        <v>50</v>
      </c>
      <c r="X52" s="11" t="s">
        <v>51</v>
      </c>
      <c r="Y52" s="18">
        <v>46010</v>
      </c>
      <c r="Z52" s="19">
        <v>1</v>
      </c>
      <c r="AA52" s="18"/>
      <c r="AB52" s="20" t="s">
        <v>52</v>
      </c>
      <c r="AC52" s="10" t="s">
        <v>63</v>
      </c>
      <c r="AD52" s="24"/>
      <c r="AE52" s="9"/>
    </row>
    <row r="53" spans="1:31" hidden="1" x14ac:dyDescent="0.25">
      <c r="A53" t="s">
        <v>6</v>
      </c>
      <c r="B53">
        <v>2362726</v>
      </c>
      <c r="C53" t="s">
        <v>154</v>
      </c>
      <c r="D53">
        <v>8</v>
      </c>
      <c r="E53" t="s">
        <v>16</v>
      </c>
      <c r="F53" t="s">
        <v>155</v>
      </c>
      <c r="G53" s="26" t="str">
        <f t="shared" si="4"/>
        <v>D4</v>
      </c>
      <c r="H53" s="26">
        <f t="shared" si="5"/>
        <v>2362726</v>
      </c>
      <c r="I53" s="26" t="str">
        <f t="shared" si="6"/>
        <v>D4</v>
      </c>
      <c r="J53" s="26" t="str">
        <f t="shared" si="7"/>
        <v>SI</v>
      </c>
      <c r="K53" t="s">
        <v>196</v>
      </c>
      <c r="M53" s="9" t="s">
        <v>39</v>
      </c>
      <c r="N53" s="10" t="s">
        <v>6</v>
      </c>
      <c r="O53" s="11">
        <v>1.7</v>
      </c>
      <c r="P53" s="12">
        <v>5</v>
      </c>
      <c r="Q53" s="27" t="s">
        <v>97</v>
      </c>
      <c r="R53" s="14">
        <v>2341892</v>
      </c>
      <c r="S53" s="45"/>
      <c r="T53" s="15" t="s">
        <v>11</v>
      </c>
      <c r="U53" s="16">
        <v>16</v>
      </c>
      <c r="V53" s="17" t="s">
        <v>53</v>
      </c>
      <c r="W53" s="17" t="s">
        <v>54</v>
      </c>
      <c r="X53" s="11" t="s">
        <v>71</v>
      </c>
      <c r="Y53" s="18">
        <v>46044</v>
      </c>
      <c r="Z53" s="19">
        <v>1</v>
      </c>
      <c r="AA53" s="46"/>
      <c r="AB53" s="20" t="s">
        <v>165</v>
      </c>
      <c r="AC53" s="10"/>
      <c r="AD53" s="48"/>
      <c r="AE53" s="9"/>
    </row>
    <row r="54" spans="1:31" hidden="1" x14ac:dyDescent="0.25">
      <c r="A54" t="s">
        <v>6</v>
      </c>
      <c r="B54">
        <v>2362723</v>
      </c>
      <c r="C54" t="s">
        <v>156</v>
      </c>
      <c r="D54">
        <v>8</v>
      </c>
      <c r="E54" t="s">
        <v>16</v>
      </c>
      <c r="F54" t="s">
        <v>18</v>
      </c>
      <c r="G54" s="26" t="str">
        <f t="shared" ref="G54:G60" si="8">VLOOKUP(B54,R:U,3,0)</f>
        <v>C9</v>
      </c>
      <c r="H54" s="26">
        <f t="shared" ref="H54:H60" si="9">VLOOKUP(C54,Q:R,2,0)</f>
        <v>2362723</v>
      </c>
      <c r="I54" s="26" t="str">
        <f t="shared" ref="I54:I60" si="10">VLOOKUP(C54,Q:T,4,0)</f>
        <v>C9</v>
      </c>
      <c r="J54" s="26" t="str">
        <f t="shared" ref="J54:J60" si="11">IF(H54=B54,"SI","NO ES IGUAL")</f>
        <v>SI</v>
      </c>
      <c r="K54" t="s">
        <v>196</v>
      </c>
      <c r="M54" s="9" t="s">
        <v>39</v>
      </c>
      <c r="N54" s="10" t="s">
        <v>6</v>
      </c>
      <c r="O54" s="11">
        <v>0.5</v>
      </c>
      <c r="P54" s="12">
        <v>5</v>
      </c>
      <c r="Q54" s="27" t="s">
        <v>98</v>
      </c>
      <c r="R54" s="14">
        <v>2350080</v>
      </c>
      <c r="S54" s="45"/>
      <c r="T54" s="15" t="s">
        <v>99</v>
      </c>
      <c r="U54" s="16">
        <v>8</v>
      </c>
      <c r="V54" s="17" t="s">
        <v>87</v>
      </c>
      <c r="W54" s="17" t="s">
        <v>86</v>
      </c>
      <c r="X54" s="11" t="s">
        <v>51</v>
      </c>
      <c r="Y54" s="18">
        <v>46044</v>
      </c>
      <c r="Z54" s="19">
        <v>1</v>
      </c>
      <c r="AA54" s="46"/>
      <c r="AB54" s="20" t="s">
        <v>194</v>
      </c>
      <c r="AC54" s="10" t="s">
        <v>16</v>
      </c>
      <c r="AD54" s="48"/>
      <c r="AE54" s="9"/>
    </row>
    <row r="55" spans="1:31" hidden="1" x14ac:dyDescent="0.25">
      <c r="A55" t="s">
        <v>6</v>
      </c>
      <c r="B55">
        <v>2362976</v>
      </c>
      <c r="C55" t="s">
        <v>157</v>
      </c>
      <c r="D55">
        <v>8</v>
      </c>
      <c r="E55" t="s">
        <v>16</v>
      </c>
      <c r="F55" t="s">
        <v>85</v>
      </c>
      <c r="G55" s="26" t="str">
        <f t="shared" si="8"/>
        <v>D9</v>
      </c>
      <c r="H55" s="26">
        <f t="shared" si="9"/>
        <v>2362976</v>
      </c>
      <c r="I55" s="26" t="str">
        <f t="shared" si="10"/>
        <v>D9</v>
      </c>
      <c r="J55" s="26" t="str">
        <f t="shared" si="11"/>
        <v>SI</v>
      </c>
      <c r="K55" t="s">
        <v>196</v>
      </c>
      <c r="M55" s="9" t="s">
        <v>39</v>
      </c>
      <c r="N55" s="10" t="s">
        <v>6</v>
      </c>
      <c r="O55" s="11">
        <v>1.1000000000000001</v>
      </c>
      <c r="P55" s="12">
        <v>5</v>
      </c>
      <c r="Q55" s="27" t="s">
        <v>100</v>
      </c>
      <c r="R55" s="14">
        <v>2362437</v>
      </c>
      <c r="S55" s="45"/>
      <c r="T55" s="15" t="s">
        <v>101</v>
      </c>
      <c r="U55" s="16">
        <v>8</v>
      </c>
      <c r="V55" s="17" t="s">
        <v>40</v>
      </c>
      <c r="W55" s="17" t="s">
        <v>41</v>
      </c>
      <c r="X55" s="11" t="s">
        <v>40</v>
      </c>
      <c r="Y55" s="18">
        <v>46044</v>
      </c>
      <c r="Z55" s="19">
        <v>1</v>
      </c>
      <c r="AA55" s="46"/>
      <c r="AB55" s="20" t="s">
        <v>69</v>
      </c>
      <c r="AC55" s="10" t="s">
        <v>16</v>
      </c>
      <c r="AD55" s="48"/>
      <c r="AE55" s="9"/>
    </row>
    <row r="56" spans="1:31" hidden="1" x14ac:dyDescent="0.25">
      <c r="A56" t="s">
        <v>6</v>
      </c>
      <c r="B56">
        <v>2362775</v>
      </c>
      <c r="C56" t="s">
        <v>158</v>
      </c>
      <c r="D56">
        <v>16</v>
      </c>
      <c r="E56" t="s">
        <v>16</v>
      </c>
      <c r="F56" t="s">
        <v>159</v>
      </c>
      <c r="G56" s="26" t="str">
        <f t="shared" si="8"/>
        <v>C9-A</v>
      </c>
      <c r="H56" s="26">
        <f t="shared" si="9"/>
        <v>2362775</v>
      </c>
      <c r="I56" s="26" t="str">
        <f t="shared" si="10"/>
        <v>C9-A</v>
      </c>
      <c r="J56" s="26" t="str">
        <f t="shared" si="11"/>
        <v>SI</v>
      </c>
      <c r="K56" t="s">
        <v>196</v>
      </c>
      <c r="M56" s="9" t="s">
        <v>39</v>
      </c>
      <c r="N56" s="10" t="s">
        <v>6</v>
      </c>
      <c r="O56" s="11" t="e">
        <v>#N/A</v>
      </c>
      <c r="P56" s="12">
        <v>5</v>
      </c>
      <c r="Q56" s="27" t="s">
        <v>103</v>
      </c>
      <c r="R56" s="14"/>
      <c r="S56" s="45"/>
      <c r="T56" s="15" t="s">
        <v>18</v>
      </c>
      <c r="U56" s="16">
        <v>8</v>
      </c>
      <c r="V56" s="17" t="s">
        <v>53</v>
      </c>
      <c r="W56" s="17" t="s">
        <v>54</v>
      </c>
      <c r="X56" s="11" t="s">
        <v>49</v>
      </c>
      <c r="Y56" s="18">
        <v>46044</v>
      </c>
      <c r="Z56" s="19">
        <v>1</v>
      </c>
      <c r="AA56" s="46"/>
      <c r="AB56" s="20" t="s">
        <v>68</v>
      </c>
      <c r="AC56" s="10" t="s">
        <v>16</v>
      </c>
      <c r="AD56" s="48"/>
      <c r="AE56" s="9"/>
    </row>
    <row r="57" spans="1:31" hidden="1" x14ac:dyDescent="0.25">
      <c r="A57" t="s">
        <v>6</v>
      </c>
      <c r="B57">
        <v>2362948</v>
      </c>
      <c r="C57" t="s">
        <v>160</v>
      </c>
      <c r="D57">
        <v>8</v>
      </c>
      <c r="E57" t="s">
        <v>16</v>
      </c>
      <c r="F57" t="s">
        <v>161</v>
      </c>
      <c r="G57" s="26" t="str">
        <f t="shared" si="8"/>
        <v>J9</v>
      </c>
      <c r="H57" s="26">
        <f t="shared" si="9"/>
        <v>2362948</v>
      </c>
      <c r="I57" s="26" t="str">
        <f t="shared" si="10"/>
        <v>J9</v>
      </c>
      <c r="J57" s="26" t="str">
        <f t="shared" si="11"/>
        <v>SI</v>
      </c>
      <c r="K57" t="s">
        <v>196</v>
      </c>
      <c r="M57" s="9" t="s">
        <v>39</v>
      </c>
      <c r="N57" s="10" t="s">
        <v>6</v>
      </c>
      <c r="O57" s="11">
        <v>2</v>
      </c>
      <c r="P57" s="12">
        <v>5</v>
      </c>
      <c r="Q57" s="27" t="s">
        <v>74</v>
      </c>
      <c r="R57" s="14">
        <v>2361310</v>
      </c>
      <c r="S57" s="45"/>
      <c r="T57" s="15" t="s">
        <v>75</v>
      </c>
      <c r="U57" s="16">
        <v>16</v>
      </c>
      <c r="V57" s="17" t="s">
        <v>53</v>
      </c>
      <c r="W57" s="17" t="s">
        <v>54</v>
      </c>
      <c r="X57" s="11" t="s">
        <v>49</v>
      </c>
      <c r="Y57" s="18">
        <v>46041</v>
      </c>
      <c r="Z57" s="19">
        <v>1</v>
      </c>
      <c r="AA57" s="18"/>
      <c r="AB57" s="20" t="s">
        <v>55</v>
      </c>
      <c r="AC57" s="10" t="s">
        <v>16</v>
      </c>
      <c r="AD57" s="24"/>
      <c r="AE57" s="9"/>
    </row>
    <row r="58" spans="1:31" x14ac:dyDescent="0.25">
      <c r="A58" t="s">
        <v>6</v>
      </c>
      <c r="C58" t="s">
        <v>187</v>
      </c>
      <c r="D58">
        <v>8</v>
      </c>
      <c r="E58" t="s">
        <v>16</v>
      </c>
      <c r="F58" t="s">
        <v>188</v>
      </c>
      <c r="G58" s="26" t="e">
        <f t="shared" si="8"/>
        <v>#N/A</v>
      </c>
      <c r="H58" s="26" t="e">
        <f t="shared" si="9"/>
        <v>#N/A</v>
      </c>
      <c r="I58" s="26" t="e">
        <f t="shared" si="10"/>
        <v>#N/A</v>
      </c>
      <c r="J58" s="26" t="e">
        <f t="shared" si="11"/>
        <v>#N/A</v>
      </c>
      <c r="M58" s="9" t="s">
        <v>39</v>
      </c>
      <c r="N58" s="10" t="s">
        <v>6</v>
      </c>
      <c r="O58" s="11">
        <v>1.9</v>
      </c>
      <c r="P58" s="12">
        <v>5</v>
      </c>
      <c r="Q58" s="27" t="s">
        <v>73</v>
      </c>
      <c r="R58" s="14">
        <v>2360969</v>
      </c>
      <c r="S58" s="45"/>
      <c r="T58" s="15" t="s">
        <v>7</v>
      </c>
      <c r="U58" s="16">
        <v>8</v>
      </c>
      <c r="V58" s="17" t="s">
        <v>40</v>
      </c>
      <c r="W58" s="17" t="s">
        <v>41</v>
      </c>
      <c r="X58" s="11" t="s">
        <v>40</v>
      </c>
      <c r="Y58" s="18">
        <v>46038</v>
      </c>
      <c r="Z58" s="19">
        <v>2</v>
      </c>
      <c r="AA58" s="18"/>
      <c r="AB58" s="20" t="s">
        <v>96</v>
      </c>
      <c r="AC58" s="10" t="s">
        <v>16</v>
      </c>
      <c r="AD58" s="25"/>
      <c r="AE58" s="9"/>
    </row>
    <row r="59" spans="1:31" hidden="1" x14ac:dyDescent="0.25">
      <c r="A59" t="s">
        <v>6</v>
      </c>
      <c r="B59">
        <v>2362524</v>
      </c>
      <c r="C59" t="s">
        <v>162</v>
      </c>
      <c r="D59">
        <v>8</v>
      </c>
      <c r="E59" t="s">
        <v>16</v>
      </c>
      <c r="F59" t="s">
        <v>163</v>
      </c>
      <c r="G59" s="26" t="str">
        <f t="shared" si="8"/>
        <v>D6</v>
      </c>
      <c r="H59" s="26">
        <f t="shared" si="9"/>
        <v>2362524</v>
      </c>
      <c r="I59" s="26" t="str">
        <f t="shared" si="10"/>
        <v>D6</v>
      </c>
      <c r="J59" s="26" t="str">
        <f t="shared" si="11"/>
        <v>SI</v>
      </c>
      <c r="K59" t="s">
        <v>196</v>
      </c>
      <c r="M59" s="9" t="s">
        <v>39</v>
      </c>
      <c r="N59" s="10" t="s">
        <v>60</v>
      </c>
      <c r="O59" s="11">
        <v>5</v>
      </c>
      <c r="P59" s="12">
        <v>5</v>
      </c>
      <c r="Q59" s="27" t="s">
        <v>14</v>
      </c>
      <c r="R59" s="14">
        <v>2346326</v>
      </c>
      <c r="S59" s="45">
        <v>1</v>
      </c>
      <c r="T59" s="15" t="s">
        <v>15</v>
      </c>
      <c r="U59" s="16">
        <v>8</v>
      </c>
      <c r="V59" s="17" t="s">
        <v>47</v>
      </c>
      <c r="W59" s="17" t="s">
        <v>48</v>
      </c>
      <c r="X59" s="11" t="s">
        <v>49</v>
      </c>
      <c r="Y59" s="18">
        <v>45974</v>
      </c>
      <c r="Z59" s="19">
        <v>4</v>
      </c>
      <c r="AA59" s="18"/>
      <c r="AB59" s="20" t="s">
        <v>52</v>
      </c>
      <c r="AC59" s="10" t="s">
        <v>63</v>
      </c>
      <c r="AD59" s="24"/>
      <c r="AE59" s="9" t="s">
        <v>195</v>
      </c>
    </row>
    <row r="60" spans="1:31" x14ac:dyDescent="0.25">
      <c r="A60" t="s">
        <v>6</v>
      </c>
      <c r="B60">
        <v>2363406</v>
      </c>
      <c r="C60" t="s">
        <v>189</v>
      </c>
      <c r="D60">
        <v>8</v>
      </c>
      <c r="E60" t="s">
        <v>16</v>
      </c>
      <c r="F60" t="s">
        <v>190</v>
      </c>
      <c r="G60" s="26" t="e">
        <f t="shared" si="8"/>
        <v>#N/A</v>
      </c>
      <c r="H60" s="26" t="e">
        <f t="shared" si="9"/>
        <v>#N/A</v>
      </c>
      <c r="I60" s="26" t="e">
        <f t="shared" si="10"/>
        <v>#N/A</v>
      </c>
      <c r="J60" s="26" t="e">
        <f t="shared" si="11"/>
        <v>#N/A</v>
      </c>
      <c r="M60" s="9"/>
      <c r="N60" s="10"/>
      <c r="O60" s="11"/>
      <c r="P60" s="12"/>
      <c r="Q60" s="27"/>
      <c r="R60" s="14"/>
      <c r="S60" s="45"/>
      <c r="T60" s="15"/>
      <c r="U60" s="16"/>
      <c r="V60" s="17"/>
      <c r="W60" s="17"/>
      <c r="X60" s="11"/>
      <c r="Y60" s="18"/>
      <c r="Z60" s="19"/>
      <c r="AA60" s="46"/>
      <c r="AB60" s="20"/>
      <c r="AC60" s="10"/>
    </row>
    <row r="61" spans="1:31" x14ac:dyDescent="0.25">
      <c r="M61" s="9"/>
      <c r="N61" s="10"/>
      <c r="O61" s="11"/>
      <c r="P61" s="12"/>
      <c r="Q61" s="27"/>
      <c r="R61" s="14"/>
      <c r="S61" s="45"/>
      <c r="T61" s="15"/>
      <c r="U61" s="16"/>
      <c r="V61" s="17"/>
      <c r="W61" s="17"/>
      <c r="X61" s="11"/>
      <c r="Y61" s="18"/>
      <c r="Z61" s="19"/>
      <c r="AA61" s="46"/>
      <c r="AB61" s="20"/>
      <c r="AC61" s="10"/>
    </row>
    <row r="62" spans="1:31" x14ac:dyDescent="0.25">
      <c r="M62" s="9"/>
      <c r="N62" s="10"/>
      <c r="O62" s="11"/>
      <c r="P62" s="12"/>
      <c r="Q62" s="27"/>
      <c r="R62" s="14"/>
      <c r="S62" s="45"/>
      <c r="T62" s="15"/>
      <c r="U62" s="16"/>
      <c r="V62" s="17"/>
      <c r="W62" s="17"/>
      <c r="X62" s="11"/>
      <c r="Y62" s="18"/>
      <c r="Z62" s="19"/>
      <c r="AA62" s="18"/>
      <c r="AB62" s="20"/>
      <c r="AC62" s="10"/>
    </row>
    <row r="63" spans="1:31" x14ac:dyDescent="0.25">
      <c r="M63" s="9"/>
      <c r="N63" s="10"/>
      <c r="O63" s="11"/>
      <c r="P63" s="12"/>
      <c r="Q63" s="27"/>
      <c r="R63" s="14"/>
      <c r="S63" s="45"/>
      <c r="T63" s="15"/>
      <c r="U63" s="16"/>
      <c r="V63" s="17"/>
      <c r="W63" s="17"/>
      <c r="X63" s="11"/>
      <c r="Y63" s="18"/>
      <c r="Z63" s="19"/>
      <c r="AA63" s="18"/>
      <c r="AB63" s="20"/>
      <c r="AC63" s="10"/>
    </row>
    <row r="64" spans="1:31" x14ac:dyDescent="0.25">
      <c r="M64" s="9"/>
      <c r="N64" s="10"/>
      <c r="O64" s="11"/>
      <c r="P64" s="12"/>
      <c r="Q64" s="27"/>
      <c r="R64" s="14"/>
      <c r="S64" s="45"/>
      <c r="T64" s="15"/>
      <c r="U64" s="16"/>
      <c r="V64" s="17"/>
      <c r="W64" s="17"/>
      <c r="X64" s="11"/>
      <c r="Y64" s="18"/>
      <c r="Z64" s="19"/>
      <c r="AA64" s="18"/>
      <c r="AB64" s="20"/>
      <c r="AC64" s="10"/>
    </row>
    <row r="65" spans="13:29" x14ac:dyDescent="0.25">
      <c r="M65" s="9"/>
      <c r="N65" s="10"/>
      <c r="O65" s="11"/>
      <c r="P65" s="12"/>
      <c r="Q65" s="27"/>
      <c r="R65" s="14"/>
      <c r="S65" s="45"/>
      <c r="T65" s="15"/>
      <c r="U65" s="16"/>
      <c r="V65" s="17"/>
      <c r="W65" s="17"/>
      <c r="X65" s="11"/>
      <c r="Y65" s="18"/>
      <c r="Z65" s="19"/>
      <c r="AA65" s="18"/>
      <c r="AB65" s="20"/>
      <c r="AC65" s="10"/>
    </row>
    <row r="66" spans="13:29" x14ac:dyDescent="0.25">
      <c r="M66" s="9"/>
      <c r="N66" s="10"/>
      <c r="O66" s="11"/>
      <c r="P66" s="12"/>
      <c r="Q66" s="27"/>
      <c r="R66" s="14"/>
      <c r="S66" s="45"/>
      <c r="T66" s="15"/>
      <c r="U66" s="16"/>
      <c r="V66" s="17"/>
      <c r="W66" s="17"/>
      <c r="X66" s="11"/>
      <c r="Y66" s="18"/>
      <c r="Z66" s="19"/>
      <c r="AA66" s="18"/>
      <c r="AB66" s="20"/>
      <c r="AC66" s="10"/>
    </row>
    <row r="67" spans="13:29" x14ac:dyDescent="0.25">
      <c r="M67" s="9"/>
      <c r="N67" s="10"/>
      <c r="O67" s="11"/>
      <c r="P67" s="12"/>
      <c r="Q67" s="27"/>
      <c r="R67" s="14"/>
      <c r="S67" s="45"/>
      <c r="T67" s="15"/>
      <c r="U67" s="16"/>
      <c r="V67" s="17"/>
      <c r="W67" s="17"/>
      <c r="X67" s="11"/>
      <c r="Y67" s="18"/>
      <c r="Z67" s="19"/>
      <c r="AA67" s="46"/>
      <c r="AB67" s="20"/>
      <c r="AC67" s="10"/>
    </row>
    <row r="68" spans="13:29" x14ac:dyDescent="0.25">
      <c r="M68" s="9"/>
      <c r="N68" s="10"/>
      <c r="O68" s="11"/>
      <c r="P68" s="12"/>
      <c r="Q68" s="27"/>
      <c r="R68" s="14"/>
      <c r="S68" s="45"/>
      <c r="T68" s="15"/>
      <c r="U68" s="16"/>
      <c r="V68" s="17"/>
      <c r="W68" s="17"/>
      <c r="X68" s="11"/>
      <c r="Y68" s="18"/>
      <c r="Z68" s="19"/>
      <c r="AA68" s="46"/>
      <c r="AB68" s="20"/>
      <c r="AC68" s="10"/>
    </row>
    <row r="69" spans="13:29" x14ac:dyDescent="0.25">
      <c r="M69" s="9"/>
      <c r="N69" s="10"/>
      <c r="O69" s="11"/>
      <c r="P69" s="12"/>
      <c r="Q69" s="27"/>
      <c r="R69" s="14"/>
      <c r="S69" s="45"/>
      <c r="T69" s="15"/>
      <c r="U69" s="16"/>
      <c r="V69" s="17"/>
      <c r="W69" s="17"/>
      <c r="X69" s="11"/>
      <c r="Y69" s="18"/>
      <c r="Z69" s="19"/>
      <c r="AA69" s="46"/>
      <c r="AB69" s="20"/>
      <c r="AC69" s="10"/>
    </row>
    <row r="70" spans="13:29" x14ac:dyDescent="0.25">
      <c r="M70" s="9"/>
      <c r="N70" s="10"/>
      <c r="O70" s="11"/>
      <c r="P70" s="12"/>
      <c r="Q70" s="27"/>
      <c r="R70" s="14"/>
      <c r="S70" s="45"/>
      <c r="T70" s="15"/>
      <c r="U70" s="16"/>
      <c r="V70" s="17"/>
      <c r="W70" s="17"/>
      <c r="X70" s="11"/>
      <c r="Y70" s="18"/>
      <c r="Z70" s="19"/>
      <c r="AA70" s="46"/>
      <c r="AB70" s="20"/>
      <c r="AC70" s="10"/>
    </row>
    <row r="71" spans="13:29" x14ac:dyDescent="0.25">
      <c r="M71" s="9"/>
      <c r="N71" s="10"/>
      <c r="O71" s="11"/>
      <c r="P71" s="12"/>
      <c r="Q71" s="27"/>
      <c r="R71" s="14"/>
      <c r="S71" s="45"/>
      <c r="T71" s="15"/>
      <c r="U71" s="16"/>
      <c r="V71" s="17"/>
      <c r="W71" s="17"/>
      <c r="X71" s="11"/>
      <c r="Y71" s="18"/>
      <c r="Z71" s="19"/>
      <c r="AA71" s="46"/>
      <c r="AB71" s="20"/>
      <c r="AC71" s="10"/>
    </row>
    <row r="72" spans="13:29" x14ac:dyDescent="0.25">
      <c r="M72" s="9"/>
      <c r="N72" s="10"/>
      <c r="O72" s="11"/>
      <c r="P72" s="12"/>
      <c r="Q72" s="27"/>
      <c r="R72" s="14"/>
      <c r="S72" s="45"/>
      <c r="T72" s="15"/>
      <c r="U72" s="16"/>
      <c r="V72" s="17"/>
      <c r="W72" s="17"/>
      <c r="X72" s="11"/>
      <c r="Y72" s="18"/>
      <c r="Z72" s="19"/>
      <c r="AA72" s="46"/>
      <c r="AB72" s="20"/>
      <c r="AC72" s="10"/>
    </row>
    <row r="73" spans="13:29" x14ac:dyDescent="0.25">
      <c r="M73" s="9"/>
      <c r="N73" s="10"/>
      <c r="O73" s="11"/>
      <c r="P73" s="12"/>
      <c r="Q73" s="27"/>
      <c r="R73" s="14"/>
      <c r="S73" s="45"/>
      <c r="T73" s="15"/>
      <c r="U73" s="16"/>
      <c r="V73" s="17"/>
      <c r="W73" s="17"/>
      <c r="X73" s="11"/>
      <c r="Y73" s="18"/>
      <c r="Z73" s="19"/>
      <c r="AA73" s="46"/>
      <c r="AB73" s="20"/>
      <c r="AC73" s="10"/>
    </row>
    <row r="74" spans="13:29" x14ac:dyDescent="0.25">
      <c r="M74" s="9"/>
      <c r="N74" s="10"/>
      <c r="O74" s="11"/>
      <c r="P74" s="12"/>
      <c r="Q74" s="27"/>
      <c r="R74" s="14"/>
      <c r="S74" s="45"/>
      <c r="T74" s="15"/>
      <c r="U74" s="16"/>
      <c r="V74" s="17"/>
      <c r="W74" s="17"/>
      <c r="X74" s="11"/>
      <c r="Y74" s="18"/>
      <c r="Z74" s="19"/>
      <c r="AA74" s="46"/>
      <c r="AB74" s="20"/>
      <c r="AC74" s="10"/>
    </row>
    <row r="75" spans="13:29" x14ac:dyDescent="0.25">
      <c r="M75" s="9"/>
      <c r="N75" s="10"/>
      <c r="O75" s="11"/>
      <c r="P75" s="12"/>
      <c r="Q75" s="27"/>
      <c r="R75" s="14"/>
      <c r="S75" s="45"/>
      <c r="T75" s="15"/>
      <c r="U75" s="16"/>
      <c r="V75" s="17"/>
      <c r="W75" s="17"/>
      <c r="X75" s="11"/>
      <c r="Y75" s="18"/>
      <c r="Z75" s="19"/>
      <c r="AA75" s="18"/>
      <c r="AB75" s="20"/>
      <c r="AC75" s="10"/>
    </row>
    <row r="76" spans="13:29" x14ac:dyDescent="0.25">
      <c r="M76" s="9"/>
      <c r="N76" s="10"/>
      <c r="O76" s="11"/>
      <c r="P76" s="12"/>
      <c r="Q76" s="27"/>
      <c r="R76" s="14"/>
      <c r="S76" s="45"/>
      <c r="T76" s="15"/>
      <c r="U76" s="16"/>
      <c r="V76" s="17"/>
      <c r="W76" s="17"/>
      <c r="X76" s="11"/>
      <c r="Y76" s="18"/>
      <c r="Z76" s="19"/>
      <c r="AA76" s="18"/>
      <c r="AB76" s="20"/>
      <c r="AC76" s="10"/>
    </row>
    <row r="77" spans="13:29" x14ac:dyDescent="0.25">
      <c r="M77" s="9"/>
      <c r="N77" s="10"/>
      <c r="O77" s="11"/>
      <c r="P77" s="12"/>
      <c r="Q77" s="27"/>
      <c r="R77" s="14"/>
      <c r="S77" s="45"/>
      <c r="T77" s="15"/>
      <c r="U77" s="16"/>
      <c r="V77" s="17"/>
      <c r="W77" s="17"/>
      <c r="X77" s="11"/>
      <c r="Y77" s="18"/>
      <c r="Z77" s="19"/>
      <c r="AA77" s="18"/>
      <c r="AB77" s="20"/>
      <c r="AC77" s="10"/>
    </row>
    <row r="78" spans="13:29" x14ac:dyDescent="0.25">
      <c r="M78" s="9"/>
      <c r="N78" s="10"/>
      <c r="O78" s="11"/>
      <c r="P78" s="12"/>
      <c r="Q78" s="27"/>
      <c r="R78" s="14"/>
      <c r="S78" s="45"/>
      <c r="T78" s="15"/>
      <c r="U78" s="16"/>
      <c r="V78" s="17"/>
      <c r="W78" s="17"/>
      <c r="X78" s="11"/>
      <c r="Y78" s="18"/>
      <c r="Z78" s="19"/>
      <c r="AA78" s="18"/>
      <c r="AB78" s="20"/>
      <c r="AC78" s="10"/>
    </row>
    <row r="79" spans="13:29" x14ac:dyDescent="0.25">
      <c r="M79" s="9"/>
      <c r="N79" s="10"/>
      <c r="O79" s="11"/>
      <c r="P79" s="12"/>
      <c r="Q79" s="27"/>
      <c r="R79" s="14"/>
      <c r="S79" s="28"/>
      <c r="T79" s="15"/>
      <c r="U79" s="16"/>
      <c r="V79" s="17"/>
      <c r="W79" s="17"/>
      <c r="X79" s="11"/>
      <c r="Y79" s="30"/>
      <c r="Z79" s="19"/>
      <c r="AA79" s="18"/>
      <c r="AB79" s="20"/>
      <c r="AC79" s="29"/>
    </row>
    <row r="80" spans="13:29" x14ac:dyDescent="0.25">
      <c r="M80" s="9"/>
      <c r="N80" s="10"/>
      <c r="O80" s="11"/>
      <c r="P80" s="12"/>
      <c r="Q80" s="27"/>
      <c r="R80" s="14"/>
      <c r="S80" s="28"/>
      <c r="T80" s="15"/>
      <c r="U80" s="16"/>
      <c r="V80" s="17"/>
      <c r="W80" s="17"/>
      <c r="X80" s="11"/>
      <c r="Y80" s="30"/>
      <c r="Z80" s="19"/>
      <c r="AA80" s="18"/>
      <c r="AB80" s="20"/>
      <c r="AC80" s="29"/>
    </row>
    <row r="81" spans="13:29" x14ac:dyDescent="0.25">
      <c r="M81" s="9"/>
      <c r="N81" s="10"/>
      <c r="O81" s="11"/>
      <c r="P81" s="12"/>
      <c r="Q81" s="27"/>
      <c r="R81" s="14"/>
      <c r="S81" s="28"/>
      <c r="T81" s="15"/>
      <c r="U81" s="16"/>
      <c r="V81" s="17"/>
      <c r="W81" s="17"/>
      <c r="X81" s="11"/>
      <c r="Y81" s="30"/>
      <c r="Z81" s="19"/>
      <c r="AA81" s="30"/>
      <c r="AB81" s="20"/>
      <c r="AC81" s="29"/>
    </row>
    <row r="82" spans="13:29" x14ac:dyDescent="0.25">
      <c r="M82" s="9"/>
      <c r="N82" s="10"/>
      <c r="O82" s="11"/>
      <c r="P82" s="12"/>
      <c r="Q82" s="27"/>
      <c r="R82" s="14"/>
      <c r="S82" s="28"/>
      <c r="T82" s="15"/>
      <c r="U82" s="16"/>
      <c r="V82" s="17"/>
      <c r="W82" s="17"/>
      <c r="X82" s="11"/>
      <c r="Y82" s="30"/>
      <c r="Z82" s="19"/>
      <c r="AA82" s="18"/>
      <c r="AB82" s="20"/>
      <c r="AC82" s="29"/>
    </row>
    <row r="83" spans="13:29" x14ac:dyDescent="0.25">
      <c r="M83" s="9"/>
      <c r="N83" s="10"/>
      <c r="O83" s="11"/>
      <c r="P83" s="12"/>
      <c r="Q83" s="27"/>
      <c r="R83" s="14"/>
      <c r="S83" s="28"/>
      <c r="T83" s="15"/>
      <c r="U83" s="16"/>
      <c r="V83" s="17"/>
      <c r="W83" s="17"/>
      <c r="X83" s="11"/>
      <c r="Y83" s="30"/>
      <c r="Z83" s="19"/>
      <c r="AA83" s="18"/>
      <c r="AB83" s="20"/>
      <c r="AC83" s="29"/>
    </row>
    <row r="84" spans="13:29" x14ac:dyDescent="0.25">
      <c r="M84" s="9"/>
      <c r="N84" s="10"/>
      <c r="O84" s="11"/>
      <c r="P84" s="12"/>
      <c r="Q84" s="27"/>
      <c r="R84" s="14"/>
      <c r="S84" s="28"/>
      <c r="T84" s="15"/>
      <c r="U84" s="16"/>
      <c r="V84" s="17"/>
      <c r="W84" s="17"/>
      <c r="X84" s="11"/>
      <c r="Y84" s="30"/>
      <c r="Z84" s="19"/>
      <c r="AA84" s="18"/>
      <c r="AB84" s="20"/>
      <c r="AC84" s="29"/>
    </row>
    <row r="85" spans="13:29" x14ac:dyDescent="0.25">
      <c r="M85" s="9"/>
      <c r="N85" s="10"/>
      <c r="O85" s="11"/>
      <c r="P85" s="12"/>
      <c r="Q85" s="27"/>
      <c r="R85" s="14"/>
      <c r="S85" s="28"/>
      <c r="T85" s="15"/>
      <c r="U85" s="16"/>
      <c r="V85" s="17"/>
      <c r="W85" s="17"/>
      <c r="X85" s="11"/>
      <c r="Y85" s="30"/>
      <c r="Z85" s="19"/>
      <c r="AA85" s="18"/>
      <c r="AB85" s="20"/>
      <c r="AC85" s="29"/>
    </row>
    <row r="86" spans="13:29" x14ac:dyDescent="0.25">
      <c r="M86" s="9"/>
      <c r="N86" s="10"/>
      <c r="O86" s="11"/>
      <c r="P86" s="12"/>
      <c r="Q86" s="27"/>
      <c r="R86" s="14"/>
      <c r="S86" s="28"/>
      <c r="T86" s="15"/>
      <c r="U86" s="16"/>
      <c r="V86" s="17"/>
      <c r="W86" s="17"/>
      <c r="X86" s="11"/>
      <c r="Y86" s="30"/>
      <c r="Z86" s="19"/>
      <c r="AA86" s="18"/>
      <c r="AB86" s="20"/>
      <c r="AC86" s="29"/>
    </row>
    <row r="87" spans="13:29" x14ac:dyDescent="0.25">
      <c r="M87" s="9"/>
      <c r="N87" s="10"/>
      <c r="O87" s="11"/>
      <c r="P87" s="12"/>
      <c r="Q87" s="27"/>
      <c r="R87" s="14"/>
      <c r="S87" s="28"/>
      <c r="T87" s="15"/>
      <c r="U87" s="16"/>
      <c r="V87" s="17"/>
      <c r="W87" s="17"/>
      <c r="X87" s="11"/>
      <c r="Y87" s="30"/>
      <c r="Z87" s="19"/>
      <c r="AA87" s="18"/>
      <c r="AB87" s="20"/>
      <c r="AC87" s="29"/>
    </row>
    <row r="88" spans="13:29" x14ac:dyDescent="0.25">
      <c r="M88" s="9"/>
      <c r="N88" s="10"/>
      <c r="O88" s="11"/>
      <c r="P88" s="12"/>
      <c r="Q88" s="27"/>
      <c r="R88" s="14"/>
      <c r="S88" s="28"/>
      <c r="T88" s="15"/>
      <c r="U88" s="16"/>
      <c r="V88" s="17"/>
      <c r="W88" s="17"/>
      <c r="X88" s="11"/>
      <c r="Y88" s="30"/>
      <c r="Z88" s="19"/>
      <c r="AA88" s="18"/>
      <c r="AB88" s="20"/>
      <c r="AC88" s="29"/>
    </row>
    <row r="89" spans="13:29" x14ac:dyDescent="0.25">
      <c r="M89" s="9"/>
      <c r="N89" s="10"/>
      <c r="O89" s="11"/>
      <c r="P89" s="12"/>
      <c r="Q89" s="27"/>
      <c r="R89" s="14"/>
      <c r="S89" s="28"/>
      <c r="T89" s="15"/>
      <c r="U89" s="16"/>
      <c r="V89" s="17"/>
      <c r="W89" s="17"/>
      <c r="X89" s="11"/>
      <c r="Y89" s="30"/>
      <c r="Z89" s="19"/>
      <c r="AA89" s="18"/>
      <c r="AB89" s="20"/>
      <c r="AC89" s="29"/>
    </row>
    <row r="90" spans="13:29" x14ac:dyDescent="0.25">
      <c r="M90" s="9"/>
      <c r="N90" s="10"/>
      <c r="O90" s="11"/>
      <c r="P90" s="12"/>
      <c r="Q90" s="27"/>
      <c r="R90" s="14"/>
      <c r="S90" s="28"/>
      <c r="T90" s="15"/>
      <c r="U90" s="16"/>
      <c r="V90" s="17"/>
      <c r="W90" s="17"/>
      <c r="X90" s="11"/>
      <c r="Y90" s="30"/>
      <c r="Z90" s="19"/>
      <c r="AA90" s="18"/>
      <c r="AB90" s="20"/>
      <c r="AC90" s="29"/>
    </row>
    <row r="91" spans="13:29" x14ac:dyDescent="0.25">
      <c r="M91" s="9"/>
      <c r="N91" s="10"/>
      <c r="O91" s="11"/>
      <c r="P91" s="12"/>
      <c r="Q91" s="27"/>
      <c r="R91" s="14"/>
      <c r="S91" s="28"/>
      <c r="T91" s="15"/>
      <c r="U91" s="16"/>
      <c r="V91" s="17"/>
      <c r="W91" s="17"/>
      <c r="X91" s="11"/>
      <c r="Y91" s="30"/>
      <c r="Z91" s="19"/>
      <c r="AA91" s="18"/>
      <c r="AB91" s="20"/>
      <c r="AC91" s="29"/>
    </row>
    <row r="92" spans="13:29" x14ac:dyDescent="0.25">
      <c r="M92" s="9"/>
      <c r="N92" s="10"/>
      <c r="O92" s="11"/>
      <c r="P92" s="12"/>
      <c r="Q92" s="27"/>
      <c r="R92" s="14"/>
      <c r="S92" s="28"/>
      <c r="T92" s="15"/>
      <c r="U92" s="16"/>
      <c r="V92" s="17"/>
      <c r="W92" s="17"/>
      <c r="X92" s="11"/>
      <c r="Y92" s="30"/>
      <c r="Z92" s="19"/>
      <c r="AA92" s="18"/>
      <c r="AB92" s="20"/>
      <c r="AC92" s="29"/>
    </row>
    <row r="93" spans="13:29" x14ac:dyDescent="0.25">
      <c r="M93" s="9"/>
      <c r="N93" s="10"/>
      <c r="O93" s="11"/>
      <c r="P93" s="12"/>
      <c r="Q93" s="27"/>
      <c r="R93" s="14"/>
      <c r="S93" s="28"/>
      <c r="T93" s="15"/>
      <c r="U93" s="16"/>
      <c r="V93" s="17"/>
      <c r="W93" s="17"/>
      <c r="X93" s="11"/>
      <c r="Y93" s="30"/>
      <c r="Z93" s="19"/>
      <c r="AA93" s="18"/>
      <c r="AB93" s="20"/>
      <c r="AC93" s="29"/>
    </row>
    <row r="94" spans="13:29" x14ac:dyDescent="0.25">
      <c r="M94" s="9"/>
      <c r="N94" s="10"/>
      <c r="O94" s="11"/>
      <c r="P94" s="12"/>
      <c r="Q94" s="27"/>
      <c r="R94" s="14"/>
      <c r="S94" s="28"/>
      <c r="T94" s="15"/>
      <c r="U94" s="16"/>
      <c r="V94" s="17"/>
      <c r="W94" s="17"/>
      <c r="X94" s="11"/>
      <c r="Y94" s="30"/>
      <c r="Z94" s="19"/>
      <c r="AA94" s="18"/>
      <c r="AB94" s="20"/>
      <c r="AC94" s="29"/>
    </row>
    <row r="95" spans="13:29" x14ac:dyDescent="0.25">
      <c r="M95" s="9"/>
      <c r="N95" s="10"/>
      <c r="O95" s="11"/>
      <c r="P95" s="12"/>
      <c r="Q95" s="27"/>
      <c r="R95" s="14"/>
      <c r="S95" s="28"/>
      <c r="T95" s="15"/>
      <c r="U95" s="16"/>
      <c r="V95" s="17"/>
      <c r="W95" s="17"/>
      <c r="X95" s="11"/>
      <c r="Y95" s="30"/>
      <c r="Z95" s="19"/>
      <c r="AA95" s="18"/>
      <c r="AB95" s="20"/>
      <c r="AC95" s="29"/>
    </row>
    <row r="96" spans="13:29" x14ac:dyDescent="0.25">
      <c r="M96" s="9"/>
      <c r="N96" s="10"/>
      <c r="O96" s="11"/>
      <c r="P96" s="12"/>
      <c r="Q96" s="27"/>
      <c r="R96" s="14"/>
      <c r="S96" s="28"/>
      <c r="T96" s="15"/>
      <c r="U96" s="16"/>
      <c r="V96" s="17"/>
      <c r="W96" s="17"/>
      <c r="X96" s="11"/>
      <c r="Y96" s="30"/>
      <c r="Z96" s="19"/>
      <c r="AA96" s="18"/>
      <c r="AB96" s="20"/>
      <c r="AC96" s="29"/>
    </row>
    <row r="97" spans="13:29" x14ac:dyDescent="0.25">
      <c r="M97" s="9"/>
      <c r="N97" s="10"/>
      <c r="O97" s="11"/>
      <c r="P97" s="12"/>
      <c r="Q97" s="27"/>
      <c r="R97" s="14"/>
      <c r="S97" s="28"/>
      <c r="T97" s="15"/>
      <c r="U97" s="16"/>
      <c r="V97" s="17"/>
      <c r="W97" s="17"/>
      <c r="X97" s="11"/>
      <c r="Y97" s="30"/>
      <c r="Z97" s="19"/>
      <c r="AA97" s="18"/>
      <c r="AB97" s="20"/>
      <c r="AC97" s="29"/>
    </row>
    <row r="98" spans="13:29" x14ac:dyDescent="0.25">
      <c r="M98" s="9"/>
      <c r="N98" s="10"/>
      <c r="O98" s="11"/>
      <c r="P98" s="12"/>
      <c r="Q98" s="27"/>
      <c r="R98" s="14"/>
      <c r="S98" s="28"/>
      <c r="T98" s="15"/>
      <c r="U98" s="16"/>
      <c r="V98" s="17"/>
      <c r="W98" s="17"/>
      <c r="X98" s="11"/>
      <c r="Y98" s="30"/>
      <c r="Z98" s="19"/>
      <c r="AA98" s="18"/>
      <c r="AB98" s="20"/>
      <c r="AC98" s="29"/>
    </row>
    <row r="99" spans="13:29" x14ac:dyDescent="0.25">
      <c r="M99" s="9"/>
      <c r="N99" s="10"/>
      <c r="O99" s="11"/>
      <c r="P99" s="12"/>
      <c r="Q99" s="27"/>
      <c r="R99" s="14"/>
      <c r="S99" s="28"/>
      <c r="T99" s="15"/>
      <c r="U99" s="16"/>
      <c r="V99" s="17"/>
      <c r="W99" s="17"/>
      <c r="X99" s="11"/>
      <c r="Y99" s="30"/>
      <c r="Z99" s="19"/>
      <c r="AA99" s="18"/>
      <c r="AB99" s="20"/>
      <c r="AC99" s="29"/>
    </row>
    <row r="100" spans="13:29" x14ac:dyDescent="0.25">
      <c r="M100" s="9"/>
      <c r="N100" s="10"/>
      <c r="O100" s="11"/>
      <c r="P100" s="12"/>
      <c r="Q100" s="27"/>
      <c r="R100" s="14"/>
      <c r="S100" s="28"/>
      <c r="T100" s="15"/>
      <c r="U100" s="16"/>
      <c r="V100" s="17"/>
      <c r="W100" s="17"/>
      <c r="X100" s="11"/>
      <c r="Y100" s="30"/>
      <c r="Z100" s="19"/>
      <c r="AA100" s="18"/>
      <c r="AB100" s="20"/>
      <c r="AC100" s="29"/>
    </row>
    <row r="101" spans="13:29" x14ac:dyDescent="0.25">
      <c r="M101" s="9"/>
      <c r="N101" s="10"/>
      <c r="O101" s="11"/>
      <c r="P101" s="12"/>
      <c r="Q101" s="27"/>
      <c r="R101" s="14"/>
      <c r="S101" s="28"/>
      <c r="T101" s="15"/>
      <c r="U101" s="16"/>
      <c r="V101" s="17"/>
      <c r="W101" s="17"/>
      <c r="X101" s="11"/>
      <c r="Y101" s="30"/>
      <c r="Z101" s="19"/>
      <c r="AA101" s="18"/>
      <c r="AB101" s="20"/>
      <c r="AC101" s="29"/>
    </row>
    <row r="102" spans="13:29" x14ac:dyDescent="0.25">
      <c r="M102" s="9"/>
      <c r="N102" s="10"/>
      <c r="O102" s="11"/>
      <c r="P102" s="12"/>
      <c r="Q102" s="27"/>
      <c r="R102" s="14"/>
      <c r="S102" s="28"/>
      <c r="T102" s="15"/>
      <c r="U102" s="16"/>
      <c r="V102" s="17"/>
      <c r="W102" s="17"/>
      <c r="X102" s="11"/>
      <c r="Y102" s="30"/>
      <c r="Z102" s="19"/>
      <c r="AA102" s="18"/>
      <c r="AB102" s="20"/>
      <c r="AC102" s="29"/>
    </row>
    <row r="103" spans="13:29" x14ac:dyDescent="0.25">
      <c r="M103" s="9"/>
      <c r="N103" s="10"/>
      <c r="O103" s="11"/>
      <c r="P103" s="12"/>
      <c r="Q103" s="27"/>
      <c r="R103" s="14"/>
      <c r="S103" s="28"/>
      <c r="T103" s="15"/>
      <c r="U103" s="16"/>
      <c r="V103" s="17"/>
      <c r="W103" s="17"/>
      <c r="X103" s="11"/>
      <c r="Y103" s="30"/>
      <c r="Z103" s="19"/>
      <c r="AA103" s="18"/>
      <c r="AB103" s="20"/>
      <c r="AC103" s="29"/>
    </row>
    <row r="104" spans="13:29" x14ac:dyDescent="0.25">
      <c r="M104" s="9"/>
      <c r="N104" s="10"/>
      <c r="O104" s="11"/>
      <c r="P104" s="12"/>
      <c r="Q104" s="27"/>
      <c r="R104" s="14"/>
      <c r="S104" s="28"/>
      <c r="T104" s="15"/>
      <c r="U104" s="16"/>
      <c r="V104" s="17"/>
      <c r="W104" s="17"/>
      <c r="X104" s="11"/>
      <c r="Y104" s="30"/>
      <c r="Z104" s="19"/>
      <c r="AA104" s="18"/>
      <c r="AB104" s="20"/>
      <c r="AC104" s="29"/>
    </row>
    <row r="105" spans="13:29" x14ac:dyDescent="0.25">
      <c r="M105" s="9"/>
      <c r="N105" s="10"/>
      <c r="O105" s="11"/>
      <c r="P105" s="12"/>
      <c r="Q105" s="27"/>
      <c r="R105" s="14"/>
      <c r="S105" s="28"/>
      <c r="T105" s="15"/>
      <c r="U105" s="16"/>
      <c r="V105" s="17"/>
      <c r="W105" s="17"/>
      <c r="X105" s="11"/>
      <c r="Y105" s="30"/>
      <c r="Z105" s="19"/>
      <c r="AA105" s="18"/>
      <c r="AB105" s="20"/>
      <c r="AC105" s="29"/>
    </row>
    <row r="106" spans="13:29" x14ac:dyDescent="0.25">
      <c r="M106" s="9"/>
      <c r="N106" s="10"/>
      <c r="O106" s="11"/>
      <c r="P106" s="12"/>
      <c r="Q106" s="27"/>
      <c r="R106" s="14"/>
      <c r="S106" s="28"/>
      <c r="T106" s="15"/>
      <c r="U106" s="16"/>
      <c r="V106" s="17"/>
      <c r="W106" s="17"/>
      <c r="X106" s="11"/>
      <c r="Y106" s="30"/>
      <c r="Z106" s="19"/>
      <c r="AA106" s="18"/>
      <c r="AB106" s="20"/>
      <c r="AC106" s="29"/>
    </row>
    <row r="107" spans="13:29" x14ac:dyDescent="0.25">
      <c r="M107" s="9"/>
      <c r="N107" s="10"/>
      <c r="O107" s="11"/>
      <c r="P107" s="12"/>
      <c r="Q107" s="27"/>
      <c r="R107" s="14"/>
      <c r="S107" s="28"/>
      <c r="T107" s="15"/>
      <c r="U107" s="16"/>
      <c r="V107" s="17"/>
      <c r="W107" s="17"/>
      <c r="X107" s="11"/>
      <c r="Y107" s="18"/>
      <c r="Z107" s="19"/>
      <c r="AA107" s="18"/>
      <c r="AB107" s="20"/>
      <c r="AC107" s="29"/>
    </row>
    <row r="108" spans="13:29" x14ac:dyDescent="0.25">
      <c r="M108" s="9"/>
      <c r="N108" s="10"/>
      <c r="O108" s="11"/>
      <c r="P108" s="12"/>
      <c r="Q108" s="27"/>
      <c r="R108" s="14"/>
      <c r="S108" s="28"/>
      <c r="T108" s="15"/>
      <c r="U108" s="16"/>
      <c r="V108" s="17"/>
      <c r="W108" s="17"/>
      <c r="X108" s="11"/>
      <c r="Y108" s="18"/>
      <c r="Z108" s="19"/>
      <c r="AA108" s="18"/>
      <c r="AB108" s="20"/>
      <c r="AC108" s="29"/>
    </row>
    <row r="109" spans="13:29" x14ac:dyDescent="0.25">
      <c r="M109" s="9"/>
      <c r="N109" s="10"/>
      <c r="O109" s="11"/>
      <c r="P109" s="12"/>
      <c r="Q109" s="27"/>
      <c r="R109" s="14"/>
      <c r="S109" s="28"/>
      <c r="T109" s="15"/>
      <c r="U109" s="16"/>
      <c r="V109" s="17"/>
      <c r="W109" s="17"/>
      <c r="X109" s="11"/>
      <c r="Y109" s="18"/>
      <c r="Z109" s="19"/>
      <c r="AA109" s="18"/>
      <c r="AB109" s="20"/>
      <c r="AC109" s="29"/>
    </row>
    <row r="110" spans="13:29" x14ac:dyDescent="0.25">
      <c r="M110" s="9"/>
      <c r="N110" s="10"/>
      <c r="O110" s="11"/>
      <c r="P110" s="12"/>
      <c r="Q110" s="27"/>
      <c r="R110" s="14"/>
      <c r="S110" s="28"/>
      <c r="T110" s="15"/>
      <c r="U110" s="16"/>
      <c r="V110" s="17"/>
      <c r="W110" s="17"/>
      <c r="X110" s="11"/>
      <c r="Y110" s="18"/>
      <c r="Z110" s="19"/>
      <c r="AA110" s="18"/>
      <c r="AB110" s="20"/>
      <c r="AC110" s="29"/>
    </row>
    <row r="111" spans="13:29" x14ac:dyDescent="0.25">
      <c r="M111" s="9"/>
      <c r="N111" s="10"/>
      <c r="O111" s="11"/>
      <c r="P111" s="12"/>
      <c r="Q111" s="27"/>
      <c r="R111" s="14"/>
      <c r="S111" s="28"/>
      <c r="T111" s="15"/>
      <c r="U111" s="16"/>
      <c r="V111" s="17"/>
      <c r="W111" s="17"/>
      <c r="X111" s="11"/>
      <c r="Y111" s="18"/>
      <c r="Z111" s="19"/>
      <c r="AA111" s="18"/>
      <c r="AB111" s="20"/>
      <c r="AC111" s="29"/>
    </row>
    <row r="112" spans="13:29" x14ac:dyDescent="0.25">
      <c r="M112" s="9"/>
      <c r="N112" s="10"/>
      <c r="O112" s="11"/>
      <c r="P112" s="12"/>
      <c r="Q112" s="27"/>
      <c r="R112" s="14"/>
      <c r="S112" s="28"/>
      <c r="T112" s="15"/>
      <c r="U112" s="16"/>
      <c r="V112" s="17"/>
      <c r="W112" s="17"/>
      <c r="X112" s="11"/>
      <c r="Y112" s="18"/>
      <c r="Z112" s="19"/>
      <c r="AA112" s="18"/>
      <c r="AB112" s="20"/>
      <c r="AC112" s="29"/>
    </row>
    <row r="113" spans="13:29" x14ac:dyDescent="0.25">
      <c r="M113" s="9"/>
      <c r="N113" s="10"/>
      <c r="O113" s="11"/>
      <c r="P113" s="12"/>
      <c r="Q113" s="27"/>
      <c r="R113" s="14"/>
      <c r="S113" s="28"/>
      <c r="T113" s="15"/>
      <c r="U113" s="16"/>
      <c r="V113" s="17"/>
      <c r="W113" s="17"/>
      <c r="X113" s="11"/>
      <c r="Y113" s="30"/>
      <c r="Z113" s="19"/>
      <c r="AA113" s="18"/>
      <c r="AB113" s="20"/>
      <c r="AC113" s="29"/>
    </row>
    <row r="114" spans="13:29" x14ac:dyDescent="0.25">
      <c r="M114" s="9"/>
      <c r="N114" s="10"/>
      <c r="O114" s="11"/>
      <c r="P114" s="12"/>
      <c r="Q114" s="27"/>
      <c r="R114" s="14"/>
      <c r="S114" s="28"/>
      <c r="T114" s="15"/>
      <c r="U114" s="16"/>
      <c r="V114" s="17"/>
      <c r="W114" s="17"/>
      <c r="X114" s="11"/>
      <c r="Y114" s="30"/>
      <c r="Z114" s="19"/>
      <c r="AA114" s="18"/>
      <c r="AB114" s="20"/>
      <c r="AC114" s="29"/>
    </row>
    <row r="115" spans="13:29" x14ac:dyDescent="0.25">
      <c r="M115" s="9"/>
      <c r="N115" s="10"/>
      <c r="O115" s="11"/>
      <c r="P115" s="12"/>
      <c r="Q115" s="27"/>
      <c r="R115" s="14"/>
      <c r="S115" s="28"/>
      <c r="T115" s="15"/>
      <c r="U115" s="16"/>
      <c r="V115" s="17"/>
      <c r="W115" s="17"/>
      <c r="X115" s="11"/>
      <c r="Y115" s="30"/>
      <c r="Z115" s="19"/>
      <c r="AA115" s="18"/>
      <c r="AB115" s="20"/>
      <c r="AC115" s="29"/>
    </row>
    <row r="116" spans="13:29" x14ac:dyDescent="0.25">
      <c r="M116" s="9"/>
      <c r="N116" s="10"/>
      <c r="O116" s="11"/>
      <c r="P116" s="12"/>
      <c r="Q116" s="27"/>
      <c r="R116" s="14"/>
      <c r="S116" s="28"/>
      <c r="T116" s="15"/>
      <c r="U116" s="16"/>
      <c r="V116" s="17"/>
      <c r="W116" s="17"/>
      <c r="X116" s="11"/>
      <c r="Y116" s="30"/>
      <c r="Z116" s="19"/>
      <c r="AA116" s="18"/>
      <c r="AB116" s="20"/>
      <c r="AC116" s="29"/>
    </row>
    <row r="117" spans="13:29" x14ac:dyDescent="0.25">
      <c r="M117" s="9"/>
      <c r="N117" s="10"/>
      <c r="O117" s="11"/>
      <c r="P117" s="12"/>
      <c r="Q117" s="27"/>
      <c r="R117" s="14"/>
      <c r="S117" s="28"/>
      <c r="T117" s="15"/>
      <c r="U117" s="16"/>
      <c r="V117" s="17"/>
      <c r="W117" s="17"/>
      <c r="X117" s="11"/>
      <c r="Y117" s="30"/>
      <c r="Z117" s="19"/>
      <c r="AA117" s="18"/>
      <c r="AB117" s="20"/>
      <c r="AC117" s="29"/>
    </row>
    <row r="118" spans="13:29" x14ac:dyDescent="0.25">
      <c r="M118" s="9"/>
      <c r="N118" s="10"/>
      <c r="O118" s="11"/>
      <c r="P118" s="12"/>
      <c r="Q118" s="27"/>
      <c r="R118" s="14"/>
      <c r="S118" s="28"/>
      <c r="T118" s="15"/>
      <c r="U118" s="16"/>
      <c r="V118" s="17"/>
      <c r="W118" s="17"/>
      <c r="X118" s="11"/>
      <c r="Y118" s="18"/>
      <c r="Z118" s="19"/>
      <c r="AA118" s="18"/>
      <c r="AB118" s="20"/>
      <c r="AC118" s="29"/>
    </row>
    <row r="119" spans="13:29" x14ac:dyDescent="0.25">
      <c r="M119" s="9"/>
      <c r="N119" s="10"/>
      <c r="O119" s="11"/>
      <c r="P119" s="12"/>
      <c r="Q119" s="27"/>
      <c r="R119" s="14"/>
      <c r="S119" s="28"/>
      <c r="T119" s="15"/>
      <c r="U119" s="16"/>
      <c r="V119" s="17"/>
      <c r="W119" s="17"/>
      <c r="X119" s="11"/>
      <c r="Y119" s="18"/>
      <c r="Z119" s="19"/>
      <c r="AA119" s="18"/>
      <c r="AB119" s="20"/>
      <c r="AC119" s="29"/>
    </row>
    <row r="120" spans="13:29" x14ac:dyDescent="0.25">
      <c r="M120" s="9"/>
      <c r="N120" s="10"/>
      <c r="O120" s="11"/>
      <c r="P120" s="12"/>
      <c r="Q120" s="27"/>
      <c r="R120" s="14"/>
      <c r="S120" s="28"/>
      <c r="T120" s="15"/>
      <c r="U120" s="16"/>
      <c r="V120" s="17"/>
      <c r="W120" s="17"/>
      <c r="X120" s="11"/>
      <c r="Y120" s="18"/>
      <c r="Z120" s="19"/>
      <c r="AA120" s="18"/>
      <c r="AB120" s="20"/>
      <c r="AC120" s="29"/>
    </row>
    <row r="121" spans="13:29" x14ac:dyDescent="0.25">
      <c r="M121" s="9"/>
      <c r="N121" s="10"/>
      <c r="O121" s="11"/>
      <c r="P121" s="12"/>
      <c r="Q121" s="27"/>
      <c r="R121" s="14"/>
      <c r="S121" s="28"/>
      <c r="T121" s="15"/>
      <c r="U121" s="16"/>
      <c r="V121" s="17"/>
      <c r="W121" s="17"/>
      <c r="X121" s="11"/>
      <c r="Y121" s="18"/>
      <c r="Z121" s="19"/>
      <c r="AA121" s="18"/>
      <c r="AB121" s="20"/>
      <c r="AC121" s="29"/>
    </row>
    <row r="122" spans="13:29" x14ac:dyDescent="0.25">
      <c r="M122" s="9"/>
      <c r="N122" s="10"/>
      <c r="O122" s="11"/>
      <c r="P122" s="12"/>
      <c r="Q122" s="27"/>
      <c r="R122" s="14"/>
      <c r="S122" s="28"/>
      <c r="T122" s="15"/>
      <c r="U122" s="16"/>
      <c r="V122" s="17"/>
      <c r="W122" s="17"/>
      <c r="X122" s="11"/>
      <c r="Y122" s="18"/>
      <c r="Z122" s="19"/>
      <c r="AA122" s="18"/>
      <c r="AB122" s="20"/>
      <c r="AC122" s="29"/>
    </row>
    <row r="123" spans="13:29" x14ac:dyDescent="0.25">
      <c r="M123" s="9"/>
      <c r="N123" s="10"/>
      <c r="O123" s="11"/>
      <c r="P123" s="12"/>
      <c r="Q123" s="27"/>
      <c r="R123" s="14"/>
      <c r="S123" s="28"/>
      <c r="T123" s="15"/>
      <c r="U123" s="16"/>
      <c r="V123" s="17"/>
      <c r="W123" s="17"/>
      <c r="X123" s="11"/>
      <c r="Y123" s="18"/>
      <c r="Z123" s="19"/>
      <c r="AA123" s="18"/>
      <c r="AB123" s="20"/>
      <c r="AC123" s="29"/>
    </row>
    <row r="124" spans="13:29" x14ac:dyDescent="0.25">
      <c r="M124" s="9"/>
      <c r="N124" s="10"/>
      <c r="O124" s="11"/>
      <c r="P124" s="12"/>
      <c r="Q124" s="27"/>
      <c r="R124" s="14"/>
      <c r="S124" s="28"/>
      <c r="T124" s="15"/>
      <c r="U124" s="16"/>
      <c r="V124" s="17"/>
      <c r="W124" s="17"/>
      <c r="X124" s="11"/>
      <c r="Y124" s="18"/>
      <c r="Z124" s="19"/>
      <c r="AA124" s="18"/>
      <c r="AB124" s="20"/>
      <c r="AC124" s="29"/>
    </row>
    <row r="125" spans="13:29" x14ac:dyDescent="0.25">
      <c r="M125" s="9"/>
      <c r="N125" s="10"/>
      <c r="O125" s="11"/>
      <c r="P125" s="12"/>
      <c r="Q125" s="27"/>
      <c r="R125" s="14"/>
      <c r="S125" s="28"/>
      <c r="T125" s="15"/>
      <c r="U125" s="16"/>
      <c r="V125" s="17"/>
      <c r="W125" s="17"/>
      <c r="X125" s="11"/>
      <c r="Y125" s="18"/>
      <c r="Z125" s="19"/>
      <c r="AA125" s="18"/>
      <c r="AB125" s="20"/>
      <c r="AC125" s="29"/>
    </row>
    <row r="126" spans="13:29" x14ac:dyDescent="0.25">
      <c r="M126" s="9"/>
      <c r="N126" s="10"/>
      <c r="O126" s="11"/>
      <c r="P126" s="12"/>
      <c r="Q126" s="27"/>
      <c r="R126" s="14"/>
      <c r="S126" s="28"/>
      <c r="T126" s="15"/>
      <c r="U126" s="16"/>
      <c r="V126" s="17"/>
      <c r="W126" s="17"/>
      <c r="X126" s="11"/>
      <c r="Y126" s="18"/>
      <c r="Z126" s="19"/>
      <c r="AA126" s="18"/>
      <c r="AB126" s="20"/>
      <c r="AC126" s="29"/>
    </row>
    <row r="127" spans="13:29" x14ac:dyDescent="0.25">
      <c r="M127" s="9"/>
      <c r="N127" s="10"/>
      <c r="O127" s="11"/>
      <c r="P127" s="12"/>
      <c r="Q127" s="27"/>
      <c r="R127" s="14"/>
      <c r="S127" s="28"/>
      <c r="T127" s="15"/>
      <c r="U127" s="16"/>
      <c r="V127" s="17"/>
      <c r="W127" s="17"/>
      <c r="X127" s="11"/>
      <c r="Y127" s="18"/>
      <c r="Z127" s="19"/>
      <c r="AA127" s="18"/>
      <c r="AB127" s="20"/>
      <c r="AC127" s="29"/>
    </row>
    <row r="128" spans="13:29" x14ac:dyDescent="0.25">
      <c r="M128" s="9"/>
      <c r="N128" s="10"/>
      <c r="O128" s="11"/>
      <c r="P128" s="12"/>
      <c r="Q128" s="27"/>
      <c r="R128" s="14"/>
      <c r="S128" s="28"/>
      <c r="T128" s="15"/>
      <c r="U128" s="16"/>
      <c r="V128" s="17"/>
      <c r="W128" s="17"/>
      <c r="X128" s="11"/>
      <c r="Y128" s="18"/>
      <c r="Z128" s="19"/>
      <c r="AA128" s="18"/>
      <c r="AB128" s="20"/>
      <c r="AC128" s="29"/>
    </row>
    <row r="129" spans="13:29" x14ac:dyDescent="0.25">
      <c r="M129" s="9"/>
      <c r="N129" s="10"/>
      <c r="O129" s="11"/>
      <c r="P129" s="12"/>
      <c r="Q129" s="27"/>
      <c r="R129" s="14"/>
      <c r="S129" s="28"/>
      <c r="T129" s="15"/>
      <c r="U129" s="16"/>
      <c r="V129" s="17"/>
      <c r="W129" s="17"/>
      <c r="X129" s="11"/>
      <c r="Y129" s="18"/>
      <c r="Z129" s="19"/>
      <c r="AA129" s="18"/>
      <c r="AB129" s="20"/>
      <c r="AC129" s="29"/>
    </row>
    <row r="130" spans="13:29" x14ac:dyDescent="0.25">
      <c r="M130" s="9"/>
      <c r="N130" s="10"/>
      <c r="O130" s="11"/>
      <c r="P130" s="12"/>
      <c r="Q130" s="27"/>
      <c r="R130" s="14"/>
      <c r="S130" s="28"/>
      <c r="T130" s="15"/>
      <c r="U130" s="16"/>
      <c r="V130" s="17"/>
      <c r="W130" s="17"/>
      <c r="X130" s="11"/>
      <c r="Y130" s="30"/>
      <c r="Z130" s="19"/>
      <c r="AA130" s="18"/>
      <c r="AB130" s="20"/>
      <c r="AC130" s="29"/>
    </row>
    <row r="131" spans="13:29" x14ac:dyDescent="0.25">
      <c r="M131" s="9"/>
      <c r="N131" s="10"/>
      <c r="O131" s="11"/>
      <c r="P131" s="12"/>
      <c r="Q131" s="27"/>
      <c r="R131" s="14"/>
      <c r="S131" s="28"/>
      <c r="T131" s="15"/>
      <c r="U131" s="16"/>
      <c r="V131" s="17"/>
      <c r="W131" s="17"/>
      <c r="X131" s="11"/>
      <c r="Y131" s="30"/>
      <c r="Z131" s="19"/>
      <c r="AA131" s="18"/>
      <c r="AB131" s="20"/>
      <c r="AC131" s="29"/>
    </row>
    <row r="132" spans="13:29" x14ac:dyDescent="0.25">
      <c r="M132" s="9"/>
      <c r="N132" s="10"/>
      <c r="O132" s="11"/>
      <c r="P132" s="12"/>
      <c r="Q132" s="27"/>
      <c r="R132" s="14"/>
      <c r="S132" s="28"/>
      <c r="T132" s="15"/>
      <c r="U132" s="16"/>
      <c r="V132" s="17"/>
      <c r="W132" s="17"/>
      <c r="X132" s="11"/>
      <c r="Y132" s="30"/>
      <c r="Z132" s="19"/>
      <c r="AA132" s="18"/>
      <c r="AB132" s="20"/>
      <c r="AC132" s="29"/>
    </row>
    <row r="133" spans="13:29" x14ac:dyDescent="0.25">
      <c r="M133" s="9"/>
      <c r="N133" s="10"/>
      <c r="O133" s="11"/>
      <c r="P133" s="12"/>
      <c r="Q133" s="27"/>
      <c r="R133" s="14"/>
      <c r="S133" s="28"/>
      <c r="T133" s="15"/>
      <c r="U133" s="16"/>
      <c r="V133" s="17"/>
      <c r="W133" s="17"/>
      <c r="X133" s="11"/>
      <c r="Y133" s="31"/>
      <c r="Z133" s="19"/>
      <c r="AA133" s="18"/>
      <c r="AB133" s="20"/>
      <c r="AC133" s="29"/>
    </row>
    <row r="134" spans="13:29" x14ac:dyDescent="0.25">
      <c r="M134" s="9"/>
      <c r="N134" s="10"/>
      <c r="O134" s="11"/>
      <c r="P134" s="12"/>
      <c r="Q134" s="27"/>
      <c r="R134" s="14"/>
      <c r="S134" s="28"/>
      <c r="T134" s="15"/>
      <c r="U134" s="16"/>
      <c r="V134" s="17"/>
      <c r="W134" s="17"/>
      <c r="X134" s="11"/>
      <c r="Y134" s="30"/>
      <c r="Z134" s="19"/>
      <c r="AA134" s="18"/>
      <c r="AB134" s="20"/>
      <c r="AC134" s="29"/>
    </row>
    <row r="135" spans="13:29" x14ac:dyDescent="0.25">
      <c r="M135" s="9"/>
      <c r="N135" s="10"/>
      <c r="O135" s="11"/>
      <c r="P135" s="12"/>
      <c r="Q135" s="27"/>
      <c r="R135" s="14"/>
      <c r="S135" s="28"/>
      <c r="T135" s="15"/>
      <c r="U135" s="16"/>
      <c r="V135" s="17"/>
      <c r="W135" s="17"/>
      <c r="X135" s="11"/>
      <c r="Y135" s="30"/>
      <c r="Z135" s="19"/>
      <c r="AA135" s="18"/>
      <c r="AB135" s="20"/>
      <c r="AC135" s="29"/>
    </row>
    <row r="136" spans="13:29" x14ac:dyDescent="0.25">
      <c r="M136" s="9"/>
      <c r="N136" s="10"/>
      <c r="O136" s="11"/>
      <c r="P136" s="12"/>
      <c r="Q136" s="27"/>
      <c r="R136" s="14"/>
      <c r="S136" s="28"/>
      <c r="T136" s="15"/>
      <c r="U136" s="16"/>
      <c r="V136" s="17"/>
      <c r="W136" s="17"/>
      <c r="X136" s="11"/>
      <c r="Y136" s="30"/>
      <c r="Z136" s="19"/>
      <c r="AA136" s="18"/>
      <c r="AB136" s="20"/>
      <c r="AC136" s="29"/>
    </row>
    <row r="137" spans="13:29" x14ac:dyDescent="0.25">
      <c r="M137" s="9"/>
      <c r="N137" s="10"/>
      <c r="O137" s="11"/>
      <c r="P137" s="12"/>
      <c r="Q137" s="27"/>
      <c r="R137" s="14"/>
      <c r="S137" s="28"/>
      <c r="T137" s="15"/>
      <c r="U137" s="16"/>
      <c r="V137" s="17"/>
      <c r="W137" s="17"/>
      <c r="X137" s="11"/>
      <c r="Y137" s="18"/>
      <c r="Z137" s="19"/>
      <c r="AA137" s="18"/>
      <c r="AB137" s="20"/>
      <c r="AC137" s="29"/>
    </row>
    <row r="138" spans="13:29" x14ac:dyDescent="0.25">
      <c r="M138" s="9"/>
      <c r="N138" s="10"/>
      <c r="O138" s="11"/>
      <c r="P138" s="12"/>
      <c r="Q138" s="27"/>
      <c r="R138" s="14"/>
      <c r="S138" s="28"/>
      <c r="T138" s="15"/>
      <c r="U138" s="16"/>
      <c r="V138" s="17"/>
      <c r="W138" s="17"/>
      <c r="X138" s="11"/>
      <c r="Y138" s="18"/>
      <c r="Z138" s="19"/>
      <c r="AA138" s="18"/>
      <c r="AB138" s="20"/>
      <c r="AC138" s="29"/>
    </row>
    <row r="139" spans="13:29" x14ac:dyDescent="0.25">
      <c r="M139" s="9"/>
      <c r="N139" s="10"/>
      <c r="O139" s="11"/>
      <c r="P139" s="12"/>
      <c r="Q139" s="27"/>
      <c r="R139" s="14"/>
      <c r="S139" s="28"/>
      <c r="T139" s="15"/>
      <c r="U139" s="16"/>
      <c r="V139" s="17"/>
      <c r="W139" s="17"/>
      <c r="X139" s="11"/>
      <c r="Y139" s="18"/>
      <c r="Z139" s="19"/>
      <c r="AA139" s="18"/>
      <c r="AB139" s="20"/>
      <c r="AC139" s="29"/>
    </row>
    <row r="140" spans="13:29" x14ac:dyDescent="0.25">
      <c r="M140" s="9"/>
      <c r="N140" s="10"/>
      <c r="O140" s="11"/>
      <c r="P140" s="12"/>
      <c r="Q140" s="27"/>
      <c r="R140" s="14"/>
      <c r="S140" s="28"/>
      <c r="T140" s="15"/>
      <c r="U140" s="16"/>
      <c r="V140" s="17"/>
      <c r="W140" s="17"/>
      <c r="X140" s="11"/>
      <c r="Y140" s="18"/>
      <c r="Z140" s="19"/>
      <c r="AA140" s="18"/>
      <c r="AB140" s="20"/>
      <c r="AC140" s="29"/>
    </row>
    <row r="141" spans="13:29" x14ac:dyDescent="0.25">
      <c r="M141" s="9"/>
      <c r="N141" s="10"/>
      <c r="O141" s="11"/>
      <c r="P141" s="12"/>
      <c r="Q141" s="27"/>
      <c r="R141" s="14"/>
      <c r="S141" s="28"/>
      <c r="T141" s="15"/>
      <c r="U141" s="16"/>
      <c r="V141" s="17"/>
      <c r="W141" s="17"/>
      <c r="X141" s="11"/>
      <c r="Y141" s="18"/>
      <c r="Z141" s="19"/>
      <c r="AA141" s="18"/>
      <c r="AB141" s="20"/>
      <c r="AC141" s="29"/>
    </row>
    <row r="142" spans="13:29" x14ac:dyDescent="0.25">
      <c r="M142" s="9"/>
      <c r="N142" s="10"/>
      <c r="O142" s="11"/>
      <c r="P142" s="12"/>
      <c r="Q142" s="27"/>
      <c r="R142" s="14"/>
      <c r="S142" s="28"/>
      <c r="T142" s="15"/>
      <c r="U142" s="16"/>
      <c r="V142" s="17"/>
      <c r="W142" s="17"/>
      <c r="X142" s="11"/>
      <c r="Y142" s="18"/>
      <c r="Z142" s="19"/>
      <c r="AA142" s="18"/>
      <c r="AB142" s="20"/>
      <c r="AC142" s="29"/>
    </row>
    <row r="143" spans="13:29" x14ac:dyDescent="0.25">
      <c r="M143" s="9"/>
      <c r="N143" s="10"/>
      <c r="O143" s="11"/>
      <c r="P143" s="12"/>
      <c r="Q143" s="27"/>
      <c r="R143" s="14"/>
      <c r="S143" s="28"/>
      <c r="T143" s="15"/>
      <c r="U143" s="16"/>
      <c r="V143" s="17"/>
      <c r="W143" s="17"/>
      <c r="X143" s="11"/>
      <c r="Y143" s="18"/>
      <c r="Z143" s="19"/>
      <c r="AA143" s="18"/>
      <c r="AB143" s="20"/>
      <c r="AC143" s="29"/>
    </row>
    <row r="144" spans="13:29" x14ac:dyDescent="0.25">
      <c r="M144" s="9"/>
      <c r="N144" s="10"/>
      <c r="O144" s="11"/>
      <c r="P144" s="12"/>
      <c r="Q144" s="27"/>
      <c r="R144" s="14"/>
      <c r="S144" s="28"/>
      <c r="T144" s="15"/>
      <c r="U144" s="16"/>
      <c r="V144" s="17"/>
      <c r="W144" s="17"/>
      <c r="X144" s="11"/>
      <c r="Y144" s="18"/>
      <c r="Z144" s="19"/>
      <c r="AA144" s="18"/>
      <c r="AB144" s="10"/>
      <c r="AC144" s="29"/>
    </row>
    <row r="145" spans="13:29" x14ac:dyDescent="0.25">
      <c r="M145" s="9"/>
      <c r="N145" s="10"/>
      <c r="O145" s="11"/>
      <c r="P145" s="12"/>
      <c r="Q145" s="27"/>
      <c r="R145" s="14"/>
      <c r="S145" s="28"/>
      <c r="T145" s="15"/>
      <c r="U145" s="16"/>
      <c r="V145" s="17"/>
      <c r="W145" s="17"/>
      <c r="X145" s="11"/>
      <c r="Y145" s="18"/>
      <c r="Z145" s="19"/>
      <c r="AA145" s="18"/>
      <c r="AB145" s="10"/>
      <c r="AC145" s="29"/>
    </row>
    <row r="146" spans="13:29" x14ac:dyDescent="0.25">
      <c r="M146" s="9"/>
      <c r="N146" s="10"/>
      <c r="O146" s="11"/>
      <c r="P146" s="12"/>
      <c r="Q146" s="27"/>
      <c r="R146" s="14"/>
      <c r="S146" s="28"/>
      <c r="T146" s="15"/>
      <c r="U146" s="16"/>
      <c r="V146" s="17"/>
      <c r="W146" s="17"/>
      <c r="X146" s="11"/>
      <c r="Y146" s="18"/>
      <c r="Z146" s="19"/>
      <c r="AA146" s="18"/>
      <c r="AB146" s="10"/>
      <c r="AC146" s="29"/>
    </row>
    <row r="147" spans="13:29" x14ac:dyDescent="0.25">
      <c r="M147" s="9"/>
      <c r="N147" s="10"/>
      <c r="O147" s="11"/>
      <c r="P147" s="12"/>
      <c r="Q147" s="27"/>
      <c r="R147" s="14"/>
      <c r="S147" s="28"/>
      <c r="T147" s="15"/>
      <c r="U147" s="16"/>
      <c r="V147" s="17"/>
      <c r="W147" s="17"/>
      <c r="X147" s="11"/>
      <c r="Y147" s="32"/>
      <c r="Z147" s="19"/>
      <c r="AA147" s="18"/>
      <c r="AB147" s="10"/>
      <c r="AC147" s="29"/>
    </row>
    <row r="148" spans="13:29" x14ac:dyDescent="0.25">
      <c r="M148" s="9"/>
      <c r="N148" s="10"/>
      <c r="O148" s="11"/>
      <c r="P148" s="12"/>
      <c r="Q148" s="27"/>
      <c r="R148" s="14"/>
      <c r="S148" s="28"/>
      <c r="T148" s="15"/>
      <c r="U148" s="16"/>
      <c r="V148" s="17"/>
      <c r="W148" s="17"/>
      <c r="X148" s="11"/>
      <c r="Y148" s="18"/>
      <c r="Z148" s="19"/>
      <c r="AA148" s="18"/>
      <c r="AB148" s="10"/>
      <c r="AC148" s="29"/>
    </row>
    <row r="149" spans="13:29" x14ac:dyDescent="0.25">
      <c r="M149" s="9"/>
      <c r="N149" s="10"/>
      <c r="O149" s="11"/>
      <c r="P149" s="12"/>
      <c r="Q149" s="27"/>
      <c r="R149" s="14"/>
      <c r="S149" s="28"/>
      <c r="T149" s="15"/>
      <c r="U149" s="16"/>
      <c r="V149" s="17"/>
      <c r="W149" s="17"/>
      <c r="X149" s="11"/>
      <c r="Y149" s="18"/>
      <c r="Z149" s="19"/>
      <c r="AA149" s="18"/>
      <c r="AB149" s="10"/>
      <c r="AC149" s="29"/>
    </row>
    <row r="150" spans="13:29" x14ac:dyDescent="0.25">
      <c r="M150" s="9"/>
      <c r="N150" s="10"/>
      <c r="O150" s="11"/>
      <c r="P150" s="12"/>
      <c r="Q150" s="27"/>
      <c r="R150" s="14"/>
      <c r="S150" s="28"/>
      <c r="T150" s="15"/>
      <c r="U150" s="16"/>
      <c r="V150" s="17"/>
      <c r="W150" s="17"/>
      <c r="X150" s="11"/>
      <c r="Y150" s="18"/>
      <c r="Z150" s="19"/>
      <c r="AA150" s="18"/>
      <c r="AB150" s="10"/>
      <c r="AC150" s="29"/>
    </row>
    <row r="151" spans="13:29" x14ac:dyDescent="0.25">
      <c r="M151" s="9"/>
      <c r="N151" s="10"/>
      <c r="O151" s="11"/>
      <c r="P151" s="12"/>
      <c r="Q151" s="27"/>
      <c r="R151" s="14"/>
      <c r="S151" s="28"/>
      <c r="T151" s="15"/>
      <c r="U151" s="16"/>
      <c r="V151" s="17"/>
      <c r="W151" s="17"/>
      <c r="X151" s="11"/>
      <c r="Y151" s="18"/>
      <c r="Z151" s="19"/>
      <c r="AA151" s="18"/>
      <c r="AB151" s="10"/>
      <c r="AC151" s="29"/>
    </row>
    <row r="152" spans="13:29" x14ac:dyDescent="0.25">
      <c r="M152" s="9"/>
      <c r="N152" s="10"/>
      <c r="O152" s="11"/>
      <c r="P152" s="12"/>
      <c r="Q152" s="27"/>
      <c r="R152" s="14"/>
      <c r="S152" s="28"/>
      <c r="T152" s="15"/>
      <c r="U152" s="16"/>
      <c r="V152" s="17"/>
      <c r="W152" s="17"/>
      <c r="X152" s="11"/>
      <c r="Y152" s="18"/>
      <c r="Z152" s="19"/>
      <c r="AA152" s="18"/>
      <c r="AB152" s="20"/>
      <c r="AC152" s="29"/>
    </row>
    <row r="153" spans="13:29" x14ac:dyDescent="0.25">
      <c r="M153" s="9"/>
      <c r="N153" s="10"/>
      <c r="O153" s="11"/>
      <c r="P153" s="12"/>
      <c r="Q153" s="27"/>
      <c r="R153" s="14"/>
      <c r="S153" s="28"/>
      <c r="T153" s="15"/>
      <c r="U153" s="16"/>
      <c r="V153" s="17"/>
      <c r="W153" s="17"/>
      <c r="X153" s="11"/>
      <c r="Y153" s="30"/>
      <c r="Z153" s="19"/>
      <c r="AA153" s="18"/>
      <c r="AB153" s="20"/>
      <c r="AC153" s="29"/>
    </row>
    <row r="154" spans="13:29" x14ac:dyDescent="0.25">
      <c r="M154" s="9"/>
      <c r="N154" s="10"/>
      <c r="O154" s="11"/>
      <c r="P154" s="12"/>
      <c r="Q154" s="27"/>
      <c r="R154" s="14"/>
      <c r="S154" s="28"/>
      <c r="T154" s="15"/>
      <c r="U154" s="16"/>
      <c r="V154" s="17"/>
      <c r="W154" s="17"/>
      <c r="X154" s="11"/>
      <c r="Y154" s="18"/>
      <c r="Z154" s="19"/>
      <c r="AA154" s="18"/>
      <c r="AB154" s="20"/>
      <c r="AC154" s="29"/>
    </row>
    <row r="155" spans="13:29" x14ac:dyDescent="0.25">
      <c r="M155" s="9"/>
      <c r="N155" s="10"/>
      <c r="O155" s="11"/>
      <c r="P155" s="12"/>
      <c r="Q155" s="27"/>
      <c r="R155" s="14"/>
      <c r="S155" s="28"/>
      <c r="T155" s="15"/>
      <c r="U155" s="16"/>
      <c r="V155" s="17"/>
      <c r="W155" s="17"/>
      <c r="X155" s="11"/>
      <c r="Y155" s="18"/>
      <c r="Z155" s="19"/>
      <c r="AA155" s="18"/>
      <c r="AB155" s="20"/>
      <c r="AC155" s="29"/>
    </row>
    <row r="156" spans="13:29" x14ac:dyDescent="0.25">
      <c r="M156" s="9"/>
      <c r="N156" s="10"/>
      <c r="O156" s="11"/>
      <c r="P156" s="12"/>
      <c r="Q156" s="27"/>
      <c r="R156" s="14"/>
      <c r="S156" s="28"/>
      <c r="T156" s="15"/>
      <c r="U156" s="16"/>
      <c r="V156" s="17"/>
      <c r="W156" s="17"/>
      <c r="X156" s="11"/>
      <c r="Y156" s="18"/>
      <c r="Z156" s="19"/>
      <c r="AA156" s="18"/>
      <c r="AB156" s="20"/>
      <c r="AC156" s="29"/>
    </row>
    <row r="157" spans="13:29" x14ac:dyDescent="0.25">
      <c r="M157" s="9"/>
      <c r="N157" s="10"/>
      <c r="O157" s="11"/>
      <c r="P157" s="12"/>
      <c r="Q157" s="27"/>
      <c r="R157" s="14"/>
      <c r="S157" s="28"/>
      <c r="T157" s="15"/>
      <c r="U157" s="16"/>
      <c r="V157" s="17"/>
      <c r="W157" s="17"/>
      <c r="X157" s="11"/>
      <c r="Y157" s="18"/>
      <c r="Z157" s="19"/>
      <c r="AA157" s="18"/>
      <c r="AB157" s="20"/>
      <c r="AC157" s="29"/>
    </row>
    <row r="158" spans="13:29" x14ac:dyDescent="0.25">
      <c r="M158" s="9"/>
      <c r="N158" s="10"/>
      <c r="O158" s="11"/>
      <c r="P158" s="12"/>
      <c r="Q158" s="27"/>
      <c r="R158" s="14"/>
      <c r="S158" s="28"/>
      <c r="T158" s="15"/>
      <c r="U158" s="16"/>
      <c r="V158" s="17"/>
      <c r="W158" s="17"/>
      <c r="X158" s="11"/>
      <c r="Y158" s="18"/>
      <c r="Z158" s="19"/>
      <c r="AA158" s="18"/>
      <c r="AB158" s="20"/>
      <c r="AC158" s="29"/>
    </row>
    <row r="159" spans="13:29" x14ac:dyDescent="0.25">
      <c r="M159" s="9"/>
      <c r="N159" s="10"/>
      <c r="O159" s="11"/>
      <c r="P159" s="12"/>
      <c r="Q159" s="27"/>
      <c r="R159" s="14"/>
      <c r="S159" s="28"/>
      <c r="T159" s="15"/>
      <c r="U159" s="16"/>
      <c r="V159" s="17"/>
      <c r="W159" s="17"/>
      <c r="X159" s="11"/>
      <c r="Y159" s="18"/>
      <c r="Z159" s="19"/>
      <c r="AA159" s="18"/>
      <c r="AB159" s="20"/>
      <c r="AC159" s="29"/>
    </row>
    <row r="160" spans="13:29" x14ac:dyDescent="0.25">
      <c r="M160" s="9"/>
      <c r="N160" s="10"/>
      <c r="O160" s="11"/>
      <c r="P160" s="12"/>
      <c r="Q160" s="27"/>
      <c r="R160" s="14"/>
      <c r="S160" s="28"/>
      <c r="T160" s="15"/>
      <c r="U160" s="16"/>
      <c r="V160" s="17"/>
      <c r="W160" s="17"/>
      <c r="X160" s="11"/>
      <c r="Y160" s="18"/>
      <c r="Z160" s="19"/>
      <c r="AA160" s="18"/>
      <c r="AB160" s="20"/>
      <c r="AC160" s="29"/>
    </row>
    <row r="161" spans="13:29" x14ac:dyDescent="0.25">
      <c r="M161" s="9"/>
      <c r="N161" s="10"/>
      <c r="O161" s="11"/>
      <c r="P161" s="12"/>
      <c r="Q161" s="27"/>
      <c r="R161" s="14"/>
      <c r="S161" s="28"/>
      <c r="T161" s="15"/>
      <c r="U161" s="16"/>
      <c r="V161" s="17"/>
      <c r="W161" s="17"/>
      <c r="X161" s="11"/>
      <c r="Y161" s="18"/>
      <c r="Z161" s="19"/>
      <c r="AA161" s="18"/>
      <c r="AB161" s="20"/>
      <c r="AC161" s="29"/>
    </row>
    <row r="162" spans="13:29" x14ac:dyDescent="0.25">
      <c r="M162" s="9"/>
      <c r="N162" s="10"/>
      <c r="O162" s="11"/>
      <c r="P162" s="12"/>
      <c r="Q162" s="27"/>
      <c r="R162" s="14"/>
      <c r="S162" s="28"/>
      <c r="T162" s="15"/>
      <c r="U162" s="16"/>
      <c r="V162" s="17"/>
      <c r="W162" s="17"/>
      <c r="X162" s="11"/>
      <c r="Y162" s="18"/>
      <c r="Z162" s="19"/>
      <c r="AA162" s="18"/>
      <c r="AB162" s="20"/>
      <c r="AC162" s="29"/>
    </row>
    <row r="163" spans="13:29" x14ac:dyDescent="0.25">
      <c r="M163" s="9"/>
      <c r="N163" s="10"/>
      <c r="O163" s="11"/>
      <c r="P163" s="12"/>
      <c r="Q163" s="27"/>
      <c r="R163" s="14"/>
      <c r="S163" s="28"/>
      <c r="T163" s="15"/>
      <c r="U163" s="16"/>
      <c r="V163" s="17"/>
      <c r="W163" s="17"/>
      <c r="X163" s="11"/>
      <c r="Y163" s="18"/>
      <c r="Z163" s="19"/>
      <c r="AA163" s="18"/>
      <c r="AB163" s="10"/>
      <c r="AC163" s="29"/>
    </row>
    <row r="164" spans="13:29" x14ac:dyDescent="0.25">
      <c r="M164" s="9"/>
      <c r="N164" s="10"/>
      <c r="O164" s="11"/>
      <c r="P164" s="12"/>
      <c r="Q164" s="27"/>
      <c r="R164" s="14"/>
      <c r="S164" s="28"/>
      <c r="T164" s="15"/>
      <c r="U164" s="16"/>
      <c r="V164" s="17"/>
      <c r="W164" s="17"/>
      <c r="X164" s="11"/>
      <c r="Y164" s="18"/>
      <c r="Z164" s="19"/>
      <c r="AA164" s="18"/>
      <c r="AB164" s="20"/>
      <c r="AC164" s="29"/>
    </row>
    <row r="165" spans="13:29" x14ac:dyDescent="0.25">
      <c r="M165" s="9"/>
      <c r="N165" s="10"/>
      <c r="O165" s="11"/>
      <c r="P165" s="12"/>
      <c r="Q165" s="27"/>
      <c r="R165" s="14"/>
      <c r="S165" s="28"/>
      <c r="T165" s="15"/>
      <c r="U165" s="16"/>
      <c r="V165" s="17"/>
      <c r="W165" s="17"/>
      <c r="X165" s="11"/>
      <c r="Y165" s="18"/>
      <c r="Z165" s="19"/>
      <c r="AA165" s="18"/>
      <c r="AB165" s="10"/>
      <c r="AC165" s="29"/>
    </row>
    <row r="166" spans="13:29" x14ac:dyDescent="0.25">
      <c r="M166" s="9"/>
      <c r="N166" s="10"/>
      <c r="O166" s="11"/>
      <c r="P166" s="12"/>
      <c r="Q166" s="27"/>
      <c r="R166" s="14"/>
      <c r="S166" s="28"/>
      <c r="T166" s="15"/>
      <c r="U166" s="16"/>
      <c r="V166" s="17"/>
      <c r="W166" s="17"/>
      <c r="X166" s="11"/>
      <c r="Y166" s="18"/>
      <c r="Z166" s="19"/>
      <c r="AA166" s="18"/>
      <c r="AB166" s="20"/>
      <c r="AC166" s="29"/>
    </row>
    <row r="167" spans="13:29" x14ac:dyDescent="0.25">
      <c r="M167" s="9"/>
      <c r="N167" s="10"/>
      <c r="O167" s="11"/>
      <c r="P167" s="12"/>
      <c r="Q167" s="27"/>
      <c r="R167" s="14"/>
      <c r="S167" s="28"/>
      <c r="T167" s="15"/>
      <c r="U167" s="16"/>
      <c r="V167" s="17"/>
      <c r="W167" s="17"/>
      <c r="X167" s="11"/>
      <c r="Y167" s="18"/>
      <c r="Z167" s="19"/>
      <c r="AA167" s="18"/>
      <c r="AB167" s="10"/>
      <c r="AC167" s="29"/>
    </row>
    <row r="168" spans="13:29" x14ac:dyDescent="0.25">
      <c r="M168" s="9"/>
      <c r="N168" s="10"/>
      <c r="O168" s="11"/>
      <c r="P168" s="12"/>
      <c r="Q168" s="27"/>
      <c r="R168" s="14"/>
      <c r="S168" s="28"/>
      <c r="T168" s="15"/>
      <c r="U168" s="16"/>
      <c r="V168" s="17"/>
      <c r="W168" s="17"/>
      <c r="X168" s="11"/>
      <c r="Y168" s="18"/>
      <c r="Z168" s="19"/>
      <c r="AA168" s="18"/>
      <c r="AB168" s="20"/>
      <c r="AC168" s="29"/>
    </row>
    <row r="169" spans="13:29" x14ac:dyDescent="0.25">
      <c r="M169" s="9"/>
      <c r="N169" s="10"/>
      <c r="O169" s="11"/>
      <c r="P169" s="12"/>
      <c r="Q169" s="27"/>
      <c r="R169" s="14"/>
      <c r="S169" s="28"/>
      <c r="T169" s="15"/>
      <c r="U169" s="16"/>
      <c r="V169" s="17"/>
      <c r="W169" s="17"/>
      <c r="X169" s="11"/>
      <c r="Y169" s="18"/>
      <c r="Z169" s="19"/>
      <c r="AA169" s="18"/>
      <c r="AB169" s="10"/>
      <c r="AC169" s="29"/>
    </row>
    <row r="170" spans="13:29" x14ac:dyDescent="0.25">
      <c r="M170" s="9"/>
      <c r="N170" s="10"/>
      <c r="O170" s="11"/>
      <c r="P170" s="12"/>
      <c r="Q170" s="27"/>
      <c r="R170" s="14"/>
      <c r="S170" s="28"/>
      <c r="T170" s="15"/>
      <c r="U170" s="16"/>
      <c r="V170" s="17"/>
      <c r="W170" s="17"/>
      <c r="X170" s="11"/>
      <c r="Y170" s="18"/>
      <c r="Z170" s="19"/>
      <c r="AA170" s="18"/>
      <c r="AB170" s="10"/>
      <c r="AC170" s="29"/>
    </row>
    <row r="171" spans="13:29" x14ac:dyDescent="0.25">
      <c r="M171" s="9"/>
      <c r="N171" s="10"/>
      <c r="O171" s="11"/>
      <c r="P171" s="12"/>
      <c r="Q171" s="27"/>
      <c r="R171" s="14"/>
      <c r="S171" s="28"/>
      <c r="T171" s="15"/>
      <c r="U171" s="16"/>
      <c r="V171" s="17"/>
      <c r="W171" s="17"/>
      <c r="X171" s="11"/>
      <c r="Y171" s="18"/>
      <c r="Z171" s="19"/>
      <c r="AA171" s="18"/>
      <c r="AB171" s="10"/>
      <c r="AC171" s="29"/>
    </row>
    <row r="172" spans="13:29" x14ac:dyDescent="0.25">
      <c r="M172" s="9"/>
      <c r="N172" s="10"/>
      <c r="O172" s="11"/>
      <c r="P172" s="12"/>
      <c r="Q172" s="27"/>
      <c r="R172" s="14"/>
      <c r="S172" s="28"/>
      <c r="T172" s="15"/>
      <c r="U172" s="16"/>
      <c r="V172" s="17"/>
      <c r="W172" s="17"/>
      <c r="X172" s="11"/>
      <c r="Y172" s="18"/>
      <c r="Z172" s="19"/>
      <c r="AA172" s="18"/>
      <c r="AB172" s="10"/>
      <c r="AC172" s="29"/>
    </row>
    <row r="173" spans="13:29" x14ac:dyDescent="0.25">
      <c r="M173" s="9"/>
      <c r="N173" s="10"/>
      <c r="O173" s="11"/>
      <c r="P173" s="12"/>
      <c r="Q173" s="27"/>
      <c r="R173" s="14"/>
      <c r="S173" s="28"/>
      <c r="T173" s="15"/>
      <c r="U173" s="16"/>
      <c r="V173" s="17"/>
      <c r="W173" s="17"/>
      <c r="X173" s="11"/>
      <c r="Y173" s="18"/>
      <c r="Z173" s="19"/>
      <c r="AA173" s="18"/>
      <c r="AB173" s="10"/>
      <c r="AC173" s="29"/>
    </row>
    <row r="174" spans="13:29" x14ac:dyDescent="0.25">
      <c r="M174" s="9"/>
      <c r="N174" s="10"/>
      <c r="O174" s="11"/>
      <c r="P174" s="12"/>
      <c r="Q174" s="27"/>
      <c r="R174" s="14"/>
      <c r="S174" s="28"/>
      <c r="T174" s="15"/>
      <c r="U174" s="16"/>
      <c r="V174" s="17"/>
      <c r="W174" s="17"/>
      <c r="X174" s="11"/>
      <c r="Y174" s="18"/>
      <c r="Z174" s="19"/>
      <c r="AA174" s="18"/>
      <c r="AB174" s="10"/>
      <c r="AC174" s="29"/>
    </row>
    <row r="175" spans="13:29" x14ac:dyDescent="0.25">
      <c r="M175" s="9"/>
      <c r="N175" s="10"/>
      <c r="O175" s="11"/>
      <c r="P175" s="12"/>
      <c r="Q175" s="27"/>
      <c r="R175" s="14"/>
      <c r="S175" s="28"/>
      <c r="T175" s="15"/>
      <c r="U175" s="16"/>
      <c r="V175" s="17"/>
      <c r="W175" s="17"/>
      <c r="X175" s="11"/>
      <c r="Y175" s="18"/>
      <c r="Z175" s="19"/>
      <c r="AA175" s="18"/>
      <c r="AB175" s="10"/>
      <c r="AC175" s="29"/>
    </row>
    <row r="176" spans="13:29" x14ac:dyDescent="0.25">
      <c r="M176" s="9"/>
      <c r="N176" s="10"/>
      <c r="O176" s="11"/>
      <c r="P176" s="12"/>
      <c r="Q176" s="27"/>
      <c r="R176" s="14"/>
      <c r="S176" s="28"/>
      <c r="T176" s="15"/>
      <c r="U176" s="16"/>
      <c r="V176" s="17"/>
      <c r="W176" s="17"/>
      <c r="X176" s="11"/>
      <c r="Y176" s="18"/>
      <c r="Z176" s="19"/>
      <c r="AA176" s="18"/>
      <c r="AB176" s="10"/>
      <c r="AC176" s="29"/>
    </row>
    <row r="177" spans="13:29" x14ac:dyDescent="0.25">
      <c r="M177" s="9"/>
      <c r="N177" s="10"/>
      <c r="O177" s="11"/>
      <c r="P177" s="12"/>
      <c r="Q177" s="27"/>
      <c r="R177" s="14"/>
      <c r="S177" s="28"/>
      <c r="T177" s="15"/>
      <c r="U177" s="16"/>
      <c r="V177" s="17"/>
      <c r="W177" s="17"/>
      <c r="X177" s="11"/>
      <c r="Y177" s="18"/>
      <c r="Z177" s="19"/>
      <c r="AA177" s="18"/>
      <c r="AB177" s="10"/>
      <c r="AC177" s="29"/>
    </row>
    <row r="178" spans="13:29" x14ac:dyDescent="0.25">
      <c r="M178" s="9"/>
      <c r="N178" s="10"/>
      <c r="O178" s="11"/>
      <c r="P178" s="12"/>
      <c r="Q178" s="27"/>
      <c r="R178" s="14"/>
      <c r="S178" s="28"/>
      <c r="T178" s="15"/>
      <c r="U178" s="16"/>
      <c r="V178" s="17"/>
      <c r="W178" s="17"/>
      <c r="X178" s="11"/>
      <c r="Y178" s="18"/>
      <c r="Z178" s="19"/>
      <c r="AA178" s="18"/>
      <c r="AB178" s="10"/>
      <c r="AC178" s="29"/>
    </row>
    <row r="179" spans="13:29" x14ac:dyDescent="0.25">
      <c r="M179" s="9"/>
      <c r="N179" s="10"/>
      <c r="O179" s="11"/>
      <c r="P179" s="12"/>
      <c r="Q179" s="27"/>
      <c r="R179" s="14"/>
      <c r="S179" s="28"/>
      <c r="T179" s="15"/>
      <c r="U179" s="16"/>
      <c r="V179" s="17"/>
      <c r="W179" s="17"/>
      <c r="X179" s="11"/>
      <c r="Y179" s="18"/>
      <c r="Z179" s="19"/>
      <c r="AA179" s="18"/>
      <c r="AB179" s="10"/>
      <c r="AC179" s="29"/>
    </row>
    <row r="180" spans="13:29" x14ac:dyDescent="0.25">
      <c r="M180" s="9"/>
      <c r="N180" s="10"/>
      <c r="O180" s="11"/>
      <c r="P180" s="12"/>
      <c r="Q180" s="27"/>
      <c r="R180" s="14"/>
      <c r="S180" s="28"/>
      <c r="T180" s="15"/>
      <c r="U180" s="16"/>
      <c r="V180" s="17"/>
      <c r="W180" s="17"/>
      <c r="X180" s="11"/>
      <c r="Y180" s="18"/>
      <c r="Z180" s="19"/>
      <c r="AA180" s="18"/>
      <c r="AB180" s="20"/>
      <c r="AC180" s="29"/>
    </row>
    <row r="181" spans="13:29" x14ac:dyDescent="0.25">
      <c r="M181" s="9"/>
      <c r="N181" s="10"/>
      <c r="O181" s="11"/>
      <c r="P181" s="12"/>
      <c r="Q181" s="27"/>
      <c r="R181" s="14"/>
      <c r="S181" s="28"/>
      <c r="T181" s="15"/>
      <c r="U181" s="16"/>
      <c r="V181" s="17"/>
      <c r="W181" s="17"/>
      <c r="X181" s="11"/>
      <c r="Y181" s="18"/>
      <c r="Z181" s="19"/>
      <c r="AA181" s="18"/>
      <c r="AB181" s="10"/>
      <c r="AC181" s="29"/>
    </row>
    <row r="182" spans="13:29" x14ac:dyDescent="0.25">
      <c r="M182" s="9"/>
      <c r="N182" s="10"/>
      <c r="O182" s="11"/>
      <c r="P182" s="12"/>
      <c r="Q182" s="27"/>
      <c r="R182" s="14"/>
      <c r="S182" s="28"/>
      <c r="T182" s="15"/>
      <c r="U182" s="16"/>
      <c r="V182" s="17"/>
      <c r="W182" s="17"/>
      <c r="X182" s="11"/>
      <c r="Y182" s="18"/>
      <c r="Z182" s="19"/>
      <c r="AA182" s="18"/>
      <c r="AB182" s="20"/>
      <c r="AC182" s="29"/>
    </row>
    <row r="183" spans="13:29" x14ac:dyDescent="0.25">
      <c r="M183" s="9"/>
      <c r="N183" s="10"/>
      <c r="O183" s="11"/>
      <c r="P183" s="12"/>
      <c r="Q183" s="27"/>
      <c r="R183" s="14"/>
      <c r="S183" s="28"/>
      <c r="T183" s="15"/>
      <c r="U183" s="16"/>
      <c r="V183" s="17"/>
      <c r="W183" s="17"/>
      <c r="X183" s="11"/>
      <c r="Y183" s="18"/>
      <c r="Z183" s="19"/>
      <c r="AA183" s="18"/>
      <c r="AB183" s="20"/>
      <c r="AC183" s="29"/>
    </row>
    <row r="184" spans="13:29" x14ac:dyDescent="0.25">
      <c r="M184" s="9"/>
      <c r="N184" s="10"/>
      <c r="O184" s="11"/>
      <c r="P184" s="12"/>
      <c r="Q184" s="27"/>
      <c r="R184" s="14"/>
      <c r="S184" s="28"/>
      <c r="T184" s="15"/>
      <c r="U184" s="16"/>
      <c r="V184" s="17"/>
      <c r="W184" s="17"/>
      <c r="X184" s="11"/>
      <c r="Y184" s="18"/>
      <c r="Z184" s="19"/>
      <c r="AA184" s="18"/>
      <c r="AB184" s="20"/>
      <c r="AC184" s="29"/>
    </row>
    <row r="185" spans="13:29" x14ac:dyDescent="0.25">
      <c r="M185" s="9"/>
      <c r="N185" s="10"/>
      <c r="O185" s="11"/>
      <c r="P185" s="12"/>
      <c r="Q185" s="27"/>
      <c r="R185" s="14"/>
      <c r="S185" s="28"/>
      <c r="T185" s="15"/>
      <c r="U185" s="16"/>
      <c r="V185" s="17"/>
      <c r="W185" s="17"/>
      <c r="X185" s="11"/>
      <c r="Y185" s="18"/>
      <c r="Z185" s="19"/>
      <c r="AA185" s="18"/>
      <c r="AB185" s="10"/>
      <c r="AC185" s="29"/>
    </row>
    <row r="186" spans="13:29" x14ac:dyDescent="0.25">
      <c r="M186" s="9"/>
      <c r="N186" s="10"/>
      <c r="O186" s="11"/>
      <c r="P186" s="12"/>
      <c r="Q186" s="27"/>
      <c r="R186" s="14"/>
      <c r="S186" s="28"/>
      <c r="T186" s="15"/>
      <c r="U186" s="16"/>
      <c r="V186" s="17"/>
      <c r="W186" s="17"/>
      <c r="X186" s="11"/>
      <c r="Y186" s="18"/>
      <c r="Z186" s="19"/>
      <c r="AA186" s="18"/>
      <c r="AB186" s="20"/>
      <c r="AC186" s="29"/>
    </row>
    <row r="187" spans="13:29" x14ac:dyDescent="0.25">
      <c r="M187" s="9"/>
      <c r="N187" s="10"/>
      <c r="O187" s="11"/>
      <c r="P187" s="12"/>
      <c r="Q187" s="27"/>
      <c r="R187" s="14"/>
      <c r="S187" s="28"/>
      <c r="T187" s="15"/>
      <c r="U187" s="16"/>
      <c r="V187" s="17"/>
      <c r="W187" s="17"/>
      <c r="X187" s="11"/>
      <c r="Y187" s="18"/>
      <c r="Z187" s="19"/>
      <c r="AA187" s="18"/>
      <c r="AB187" s="10"/>
      <c r="AC187" s="29"/>
    </row>
    <row r="188" spans="13:29" x14ac:dyDescent="0.25">
      <c r="M188" s="9"/>
      <c r="N188" s="10"/>
      <c r="O188" s="11"/>
      <c r="P188" s="12"/>
      <c r="Q188" s="27"/>
      <c r="R188" s="14"/>
      <c r="S188" s="33"/>
      <c r="T188" s="15"/>
      <c r="U188" s="16"/>
      <c r="V188" s="17"/>
      <c r="W188" s="17"/>
      <c r="X188" s="11"/>
      <c r="Y188" s="18"/>
      <c r="Z188" s="19"/>
      <c r="AA188" s="18"/>
      <c r="AB188" s="10"/>
      <c r="AC188" s="29"/>
    </row>
    <row r="189" spans="13:29" x14ac:dyDescent="0.25">
      <c r="M189" s="9"/>
      <c r="N189" s="10"/>
      <c r="O189" s="11"/>
      <c r="P189" s="12"/>
      <c r="Q189" s="27"/>
      <c r="R189" s="14"/>
      <c r="S189" s="28"/>
      <c r="T189" s="15"/>
      <c r="U189" s="16"/>
      <c r="V189" s="17"/>
      <c r="W189" s="17"/>
      <c r="X189" s="11"/>
      <c r="Y189" s="18"/>
      <c r="Z189" s="19"/>
      <c r="AA189" s="18"/>
      <c r="AB189" s="20"/>
      <c r="AC189" s="29"/>
    </row>
    <row r="190" spans="13:29" x14ac:dyDescent="0.25">
      <c r="M190" s="9"/>
      <c r="N190" s="10"/>
      <c r="O190" s="11"/>
      <c r="P190" s="12"/>
      <c r="Q190" s="27"/>
      <c r="R190" s="14"/>
      <c r="S190" s="28"/>
      <c r="T190" s="15"/>
      <c r="U190" s="16"/>
      <c r="V190" s="17"/>
      <c r="W190" s="17"/>
      <c r="X190" s="11"/>
      <c r="Y190" s="18"/>
      <c r="Z190" s="19"/>
      <c r="AA190" s="18"/>
      <c r="AB190" s="20"/>
      <c r="AC190" s="29"/>
    </row>
    <row r="191" spans="13:29" x14ac:dyDescent="0.25">
      <c r="M191" s="9"/>
      <c r="N191" s="10"/>
      <c r="O191" s="11"/>
      <c r="P191" s="12"/>
      <c r="Q191" s="27"/>
      <c r="R191" s="14"/>
      <c r="S191" s="28"/>
      <c r="T191" s="15"/>
      <c r="U191" s="16"/>
      <c r="V191" s="17"/>
      <c r="W191" s="17"/>
      <c r="X191" s="11"/>
      <c r="Y191" s="18"/>
      <c r="Z191" s="19"/>
      <c r="AA191" s="18"/>
      <c r="AB191" s="20"/>
      <c r="AC191" s="29"/>
    </row>
    <row r="192" spans="13:29" x14ac:dyDescent="0.25">
      <c r="M192" s="9"/>
      <c r="N192" s="10"/>
      <c r="O192" s="11"/>
      <c r="P192" s="12"/>
      <c r="Q192" s="27"/>
      <c r="R192" s="14"/>
      <c r="S192" s="28"/>
      <c r="T192" s="15"/>
      <c r="U192" s="16"/>
      <c r="V192" s="17"/>
      <c r="W192" s="17"/>
      <c r="X192" s="11"/>
      <c r="Y192" s="18"/>
      <c r="Z192" s="19"/>
      <c r="AA192" s="18"/>
      <c r="AB192" s="10"/>
      <c r="AC192" s="29"/>
    </row>
    <row r="193" spans="13:29" x14ac:dyDescent="0.25">
      <c r="M193" s="9"/>
      <c r="N193" s="10"/>
      <c r="O193" s="11"/>
      <c r="P193" s="12"/>
      <c r="Q193" s="27"/>
      <c r="R193" s="14"/>
      <c r="S193" s="28"/>
      <c r="T193" s="15"/>
      <c r="U193" s="16"/>
      <c r="V193" s="17"/>
      <c r="W193" s="17"/>
      <c r="X193" s="11"/>
      <c r="Y193" s="18"/>
      <c r="Z193" s="19"/>
      <c r="AA193" s="18"/>
      <c r="AB193" s="20"/>
      <c r="AC193" s="29"/>
    </row>
    <row r="194" spans="13:29" x14ac:dyDescent="0.25">
      <c r="M194" s="9"/>
      <c r="N194" s="10"/>
      <c r="O194" s="11"/>
      <c r="P194" s="12"/>
      <c r="Q194" s="27"/>
      <c r="R194" s="14"/>
      <c r="S194" s="28"/>
      <c r="T194" s="15"/>
      <c r="U194" s="16"/>
      <c r="V194" s="17"/>
      <c r="W194" s="17"/>
      <c r="X194" s="11"/>
      <c r="Y194" s="18"/>
      <c r="Z194" s="19"/>
      <c r="AA194" s="18"/>
      <c r="AB194" s="20"/>
      <c r="AC194" s="29"/>
    </row>
    <row r="195" spans="13:29" x14ac:dyDescent="0.25">
      <c r="M195" s="9"/>
      <c r="N195" s="10"/>
      <c r="O195" s="11"/>
      <c r="P195" s="12"/>
      <c r="Q195" s="27"/>
      <c r="R195" s="14"/>
      <c r="S195" s="28"/>
      <c r="T195" s="15"/>
      <c r="U195" s="16"/>
      <c r="V195" s="17"/>
      <c r="W195" s="17"/>
      <c r="X195" s="11"/>
      <c r="Y195" s="18"/>
      <c r="Z195" s="19"/>
      <c r="AA195" s="18"/>
      <c r="AB195" s="20"/>
      <c r="AC195" s="29"/>
    </row>
    <row r="196" spans="13:29" x14ac:dyDescent="0.25">
      <c r="M196" s="9"/>
      <c r="N196" s="10"/>
      <c r="O196" s="11"/>
      <c r="P196" s="12"/>
      <c r="Q196" s="27"/>
      <c r="R196" s="14"/>
      <c r="S196" s="28"/>
      <c r="T196" s="15"/>
      <c r="U196" s="16"/>
      <c r="V196" s="17"/>
      <c r="W196" s="17"/>
      <c r="X196" s="11"/>
      <c r="Y196" s="18"/>
      <c r="Z196" s="19"/>
      <c r="AA196" s="18"/>
      <c r="AB196" s="20"/>
      <c r="AC196" s="29"/>
    </row>
    <row r="197" spans="13:29" x14ac:dyDescent="0.25">
      <c r="M197" s="9"/>
      <c r="N197" s="10"/>
      <c r="O197" s="11"/>
      <c r="P197" s="12"/>
      <c r="Q197" s="27"/>
      <c r="R197" s="14"/>
      <c r="S197" s="28"/>
      <c r="T197" s="15"/>
      <c r="U197" s="16"/>
      <c r="V197" s="17"/>
      <c r="W197" s="17"/>
      <c r="X197" s="11"/>
      <c r="Y197" s="18"/>
      <c r="Z197" s="19"/>
      <c r="AA197" s="18"/>
      <c r="AB197" s="20"/>
      <c r="AC197" s="29"/>
    </row>
    <row r="198" spans="13:29" x14ac:dyDescent="0.25">
      <c r="M198" s="9"/>
      <c r="N198" s="10"/>
      <c r="O198" s="11"/>
      <c r="P198" s="12"/>
      <c r="Q198" s="27"/>
      <c r="R198" s="14"/>
      <c r="S198" s="28"/>
      <c r="T198" s="15"/>
      <c r="U198" s="16"/>
      <c r="V198" s="17"/>
      <c r="W198" s="17"/>
      <c r="X198" s="11"/>
      <c r="Y198" s="18"/>
      <c r="Z198" s="19"/>
      <c r="AA198" s="18"/>
      <c r="AB198" s="20"/>
      <c r="AC198" s="29"/>
    </row>
    <row r="199" spans="13:29" x14ac:dyDescent="0.25">
      <c r="M199" s="9"/>
      <c r="N199" s="10"/>
      <c r="O199" s="11"/>
      <c r="P199" s="12"/>
      <c r="Q199" s="27"/>
      <c r="R199" s="14"/>
      <c r="S199" s="28"/>
      <c r="T199" s="15"/>
      <c r="U199" s="16"/>
      <c r="V199" s="17"/>
      <c r="W199" s="17"/>
      <c r="X199" s="11"/>
      <c r="Y199" s="18"/>
      <c r="Z199" s="19"/>
      <c r="AA199" s="18"/>
      <c r="AB199" s="20"/>
      <c r="AC199" s="29"/>
    </row>
    <row r="200" spans="13:29" x14ac:dyDescent="0.25">
      <c r="M200" s="9"/>
      <c r="N200" s="10"/>
      <c r="O200" s="11"/>
      <c r="P200" s="12"/>
      <c r="Q200" s="27"/>
      <c r="R200" s="14"/>
      <c r="S200" s="28"/>
      <c r="T200" s="15"/>
      <c r="U200" s="16"/>
      <c r="V200" s="17"/>
      <c r="W200" s="17"/>
      <c r="X200" s="11"/>
      <c r="Y200" s="18"/>
      <c r="Z200" s="19"/>
      <c r="AA200" s="18"/>
      <c r="AB200" s="20"/>
      <c r="AC200" s="29"/>
    </row>
    <row r="201" spans="13:29" x14ac:dyDescent="0.25">
      <c r="M201" s="9"/>
      <c r="N201" s="10"/>
      <c r="O201" s="11"/>
      <c r="P201" s="12"/>
      <c r="Q201" s="27"/>
      <c r="R201" s="14"/>
      <c r="S201" s="28"/>
      <c r="T201" s="15"/>
      <c r="U201" s="16"/>
      <c r="V201" s="17"/>
      <c r="W201" s="17"/>
      <c r="X201" s="11"/>
      <c r="Y201" s="18"/>
      <c r="Z201" s="19"/>
      <c r="AA201" s="18"/>
      <c r="AB201" s="20"/>
      <c r="AC201" s="29"/>
    </row>
    <row r="202" spans="13:29" x14ac:dyDescent="0.25">
      <c r="M202" s="9"/>
      <c r="N202" s="10"/>
      <c r="O202" s="11"/>
      <c r="P202" s="12"/>
      <c r="Q202" s="27"/>
      <c r="R202" s="14"/>
      <c r="S202" s="28"/>
      <c r="T202" s="15"/>
      <c r="U202" s="16"/>
      <c r="V202" s="17"/>
      <c r="W202" s="17"/>
      <c r="X202" s="11"/>
      <c r="Y202" s="18"/>
      <c r="Z202" s="19"/>
      <c r="AA202" s="18"/>
      <c r="AB202" s="20"/>
      <c r="AC202" s="29"/>
    </row>
    <row r="203" spans="13:29" x14ac:dyDescent="0.25">
      <c r="M203" s="9"/>
      <c r="N203" s="10"/>
      <c r="O203" s="11"/>
      <c r="P203" s="12"/>
      <c r="Q203" s="27"/>
      <c r="R203" s="14"/>
      <c r="S203" s="28"/>
      <c r="T203" s="15"/>
      <c r="U203" s="16"/>
      <c r="V203" s="17"/>
      <c r="W203" s="17"/>
      <c r="X203" s="11"/>
      <c r="Y203" s="18"/>
      <c r="Z203" s="19"/>
      <c r="AA203" s="18"/>
      <c r="AB203" s="20"/>
      <c r="AC203" s="29"/>
    </row>
    <row r="204" spans="13:29" x14ac:dyDescent="0.25">
      <c r="M204" s="9"/>
      <c r="N204" s="10"/>
      <c r="O204" s="11"/>
      <c r="P204" s="12"/>
      <c r="Q204" s="27"/>
      <c r="R204" s="14"/>
      <c r="S204" s="28"/>
      <c r="T204" s="15"/>
      <c r="U204" s="16"/>
      <c r="V204" s="17"/>
      <c r="W204" s="17"/>
      <c r="X204" s="11"/>
      <c r="Y204" s="18"/>
      <c r="Z204" s="19"/>
      <c r="AA204" s="18"/>
      <c r="AB204" s="20"/>
      <c r="AC204" s="29"/>
    </row>
    <row r="205" spans="13:29" x14ac:dyDescent="0.25">
      <c r="M205" s="9"/>
      <c r="N205" s="10"/>
      <c r="O205" s="11"/>
      <c r="P205" s="12"/>
      <c r="Q205" s="27"/>
      <c r="R205" s="14"/>
      <c r="S205" s="28"/>
      <c r="T205" s="15"/>
      <c r="U205" s="16"/>
      <c r="V205" s="17"/>
      <c r="W205" s="17"/>
      <c r="X205" s="11"/>
      <c r="Y205" s="18"/>
      <c r="Z205" s="19"/>
      <c r="AA205" s="18"/>
      <c r="AB205" s="20"/>
      <c r="AC205" s="29"/>
    </row>
    <row r="206" spans="13:29" x14ac:dyDescent="0.25">
      <c r="M206" s="9"/>
      <c r="N206" s="10"/>
      <c r="O206" s="11"/>
      <c r="P206" s="12"/>
      <c r="Q206" s="27"/>
      <c r="R206" s="14"/>
      <c r="S206" s="28"/>
      <c r="T206" s="15"/>
      <c r="U206" s="16"/>
      <c r="V206" s="17"/>
      <c r="W206" s="17"/>
      <c r="X206" s="11"/>
      <c r="Y206" s="18"/>
      <c r="Z206" s="19"/>
      <c r="AA206" s="18"/>
      <c r="AB206" s="20"/>
      <c r="AC206" s="29"/>
    </row>
    <row r="207" spans="13:29" x14ac:dyDescent="0.25">
      <c r="M207" s="9"/>
      <c r="N207" s="10"/>
      <c r="O207" s="11"/>
      <c r="P207" s="12"/>
      <c r="Q207" s="27"/>
      <c r="R207" s="14"/>
      <c r="S207" s="28"/>
      <c r="T207" s="15"/>
      <c r="U207" s="16"/>
      <c r="V207" s="17"/>
      <c r="W207" s="17"/>
      <c r="X207" s="11"/>
      <c r="Y207" s="18"/>
      <c r="Z207" s="19"/>
      <c r="AA207" s="18"/>
      <c r="AB207" s="20"/>
      <c r="AC207" s="29"/>
    </row>
    <row r="208" spans="13:29" x14ac:dyDescent="0.25">
      <c r="M208" s="9"/>
      <c r="N208" s="10"/>
      <c r="O208" s="11"/>
      <c r="P208" s="12"/>
      <c r="Q208" s="27"/>
      <c r="R208" s="14"/>
      <c r="S208" s="28"/>
      <c r="T208" s="15"/>
      <c r="U208" s="16"/>
      <c r="V208" s="17"/>
      <c r="W208" s="17"/>
      <c r="X208" s="11"/>
      <c r="Y208" s="18"/>
      <c r="Z208" s="19"/>
      <c r="AA208" s="18"/>
      <c r="AB208" s="20"/>
      <c r="AC208" s="29"/>
    </row>
    <row r="209" spans="13:29" x14ac:dyDescent="0.25">
      <c r="M209" s="9"/>
      <c r="N209" s="10"/>
      <c r="O209" s="11"/>
      <c r="P209" s="12"/>
      <c r="Q209" s="27"/>
      <c r="R209" s="14"/>
      <c r="S209" s="28"/>
      <c r="T209" s="15"/>
      <c r="U209" s="16"/>
      <c r="V209" s="17"/>
      <c r="W209" s="17"/>
      <c r="X209" s="11"/>
      <c r="Y209" s="18"/>
      <c r="Z209" s="19"/>
      <c r="AA209" s="18"/>
      <c r="AB209" s="20"/>
      <c r="AC209" s="29"/>
    </row>
    <row r="210" spans="13:29" x14ac:dyDescent="0.25">
      <c r="M210" s="9"/>
      <c r="N210" s="10"/>
      <c r="O210" s="11"/>
      <c r="P210" s="12"/>
      <c r="Q210" s="27"/>
      <c r="R210" s="14"/>
      <c r="S210" s="28"/>
      <c r="T210" s="15"/>
      <c r="U210" s="16"/>
      <c r="V210" s="17"/>
      <c r="W210" s="17"/>
      <c r="X210" s="11"/>
      <c r="Y210" s="18"/>
      <c r="Z210" s="19"/>
      <c r="AA210" s="18"/>
      <c r="AB210" s="20"/>
      <c r="AC210" s="29"/>
    </row>
    <row r="211" spans="13:29" x14ac:dyDescent="0.25">
      <c r="M211" s="9"/>
      <c r="N211" s="10"/>
      <c r="O211" s="11"/>
      <c r="P211" s="12"/>
      <c r="Q211" s="27"/>
      <c r="R211" s="14"/>
      <c r="S211" s="28"/>
      <c r="T211" s="15"/>
      <c r="U211" s="16"/>
      <c r="V211" s="17"/>
      <c r="W211" s="17"/>
      <c r="X211" s="11"/>
      <c r="Y211" s="18"/>
      <c r="Z211" s="19"/>
      <c r="AA211" s="18"/>
      <c r="AB211" s="20"/>
      <c r="AC211" s="29"/>
    </row>
    <row r="212" spans="13:29" x14ac:dyDescent="0.25">
      <c r="M212" s="9"/>
      <c r="N212" s="10"/>
      <c r="O212" s="11"/>
      <c r="P212" s="12"/>
      <c r="Q212" s="27"/>
      <c r="R212" s="14"/>
      <c r="S212" s="28"/>
      <c r="T212" s="15"/>
      <c r="U212" s="16"/>
      <c r="V212" s="17"/>
      <c r="W212" s="17"/>
      <c r="X212" s="11"/>
      <c r="Y212" s="18"/>
      <c r="Z212" s="19"/>
      <c r="AA212" s="18"/>
      <c r="AB212" s="20"/>
      <c r="AC212" s="29"/>
    </row>
    <row r="213" spans="13:29" x14ac:dyDescent="0.25">
      <c r="M213" s="9"/>
      <c r="N213" s="10"/>
      <c r="O213" s="11"/>
      <c r="P213" s="12"/>
      <c r="Q213" s="27"/>
      <c r="R213" s="14"/>
      <c r="S213" s="28"/>
      <c r="T213" s="15"/>
      <c r="U213" s="16"/>
      <c r="V213" s="17"/>
      <c r="W213" s="17"/>
      <c r="X213" s="11"/>
      <c r="Y213" s="18"/>
      <c r="Z213" s="19"/>
      <c r="AA213" s="18"/>
      <c r="AB213" s="10"/>
      <c r="AC213" s="29"/>
    </row>
    <row r="214" spans="13:29" x14ac:dyDescent="0.25">
      <c r="M214" s="9"/>
      <c r="N214" s="10"/>
      <c r="O214" s="11"/>
      <c r="P214" s="12"/>
      <c r="Q214" s="27"/>
      <c r="R214" s="14"/>
      <c r="S214" s="28"/>
      <c r="T214" s="15"/>
      <c r="U214" s="16"/>
      <c r="V214" s="17"/>
      <c r="W214" s="17"/>
      <c r="X214" s="11"/>
      <c r="Y214" s="18"/>
      <c r="Z214" s="19"/>
      <c r="AA214" s="18"/>
      <c r="AB214" s="20"/>
      <c r="AC214" s="29"/>
    </row>
    <row r="215" spans="13:29" x14ac:dyDescent="0.25">
      <c r="M215" s="9"/>
      <c r="N215" s="10"/>
      <c r="O215" s="11"/>
      <c r="P215" s="12"/>
      <c r="Q215" s="27"/>
      <c r="R215" s="14"/>
      <c r="S215" s="28"/>
      <c r="T215" s="15"/>
      <c r="U215" s="16"/>
      <c r="V215" s="17"/>
      <c r="W215" s="17"/>
      <c r="X215" s="11"/>
      <c r="Y215" s="18"/>
      <c r="Z215" s="19"/>
      <c r="AA215" s="18"/>
      <c r="AB215" s="20"/>
      <c r="AC215" s="29"/>
    </row>
    <row r="216" spans="13:29" x14ac:dyDescent="0.25">
      <c r="M216" s="9"/>
      <c r="N216" s="10"/>
      <c r="O216" s="11"/>
      <c r="P216" s="12"/>
      <c r="Q216" s="27"/>
      <c r="R216" s="14"/>
      <c r="S216" s="28"/>
      <c r="T216" s="15"/>
      <c r="U216" s="16"/>
      <c r="V216" s="17"/>
      <c r="W216" s="17"/>
      <c r="X216" s="11"/>
      <c r="Y216" s="18"/>
      <c r="Z216" s="19"/>
      <c r="AA216" s="18"/>
      <c r="AB216" s="20"/>
      <c r="AC216" s="29"/>
    </row>
    <row r="217" spans="13:29" x14ac:dyDescent="0.25">
      <c r="M217" s="9"/>
      <c r="N217" s="10"/>
      <c r="O217" s="11"/>
      <c r="P217" s="12"/>
      <c r="Q217" s="27"/>
      <c r="R217" s="14"/>
      <c r="S217" s="28"/>
      <c r="T217" s="15"/>
      <c r="U217" s="16"/>
      <c r="V217" s="17"/>
      <c r="W217" s="17"/>
      <c r="X217" s="11"/>
      <c r="Y217" s="18"/>
      <c r="Z217" s="19"/>
      <c r="AA217" s="18"/>
      <c r="AB217" s="20"/>
      <c r="AC217" s="29"/>
    </row>
    <row r="218" spans="13:29" x14ac:dyDescent="0.25">
      <c r="M218" s="9"/>
      <c r="N218" s="10"/>
      <c r="O218" s="11"/>
      <c r="P218" s="12"/>
      <c r="Q218" s="27"/>
      <c r="R218" s="14"/>
      <c r="S218" s="28"/>
      <c r="T218" s="15"/>
      <c r="U218" s="16"/>
      <c r="V218" s="17"/>
      <c r="W218" s="17"/>
      <c r="X218" s="11"/>
      <c r="Y218" s="18"/>
      <c r="Z218" s="19"/>
      <c r="AA218" s="18"/>
      <c r="AB218" s="20"/>
      <c r="AC218" s="29"/>
    </row>
    <row r="219" spans="13:29" x14ac:dyDescent="0.25">
      <c r="M219" s="9"/>
      <c r="N219" s="10"/>
      <c r="O219" s="11"/>
      <c r="P219" s="12"/>
      <c r="Q219" s="27"/>
      <c r="R219" s="14"/>
      <c r="S219" s="28"/>
      <c r="T219" s="15"/>
      <c r="U219" s="16"/>
      <c r="V219" s="17"/>
      <c r="W219" s="17"/>
      <c r="X219" s="11"/>
      <c r="Y219" s="18"/>
      <c r="Z219" s="19"/>
      <c r="AA219" s="18"/>
      <c r="AB219" s="20"/>
      <c r="AC219" s="29"/>
    </row>
    <row r="220" spans="13:29" x14ac:dyDescent="0.25">
      <c r="M220" s="9"/>
      <c r="N220" s="10"/>
      <c r="O220" s="11"/>
      <c r="P220" s="12"/>
      <c r="Q220" s="27"/>
      <c r="R220" s="14"/>
      <c r="S220" s="28"/>
      <c r="T220" s="15"/>
      <c r="U220" s="16"/>
      <c r="V220" s="17"/>
      <c r="W220" s="17"/>
      <c r="X220" s="11"/>
      <c r="Y220" s="18"/>
      <c r="Z220" s="19"/>
      <c r="AA220" s="18"/>
      <c r="AB220" s="20"/>
      <c r="AC220" s="29"/>
    </row>
    <row r="221" spans="13:29" x14ac:dyDescent="0.25">
      <c r="M221" s="9"/>
      <c r="N221" s="10"/>
      <c r="O221" s="11"/>
      <c r="P221" s="12"/>
      <c r="Q221" s="27"/>
      <c r="R221" s="14"/>
      <c r="S221" s="28"/>
      <c r="T221" s="15"/>
      <c r="U221" s="16"/>
      <c r="V221" s="17"/>
      <c r="W221" s="17"/>
      <c r="X221" s="11"/>
      <c r="Y221" s="18"/>
      <c r="Z221" s="19"/>
      <c r="AA221" s="18"/>
      <c r="AB221" s="10"/>
      <c r="AC221" s="29"/>
    </row>
    <row r="222" spans="13:29" x14ac:dyDescent="0.25">
      <c r="M222" s="9"/>
      <c r="N222" s="10"/>
      <c r="O222" s="11"/>
      <c r="P222" s="12"/>
      <c r="Q222" s="27"/>
      <c r="R222" s="14"/>
      <c r="S222" s="28"/>
      <c r="T222" s="15"/>
      <c r="U222" s="16"/>
      <c r="V222" s="17"/>
      <c r="W222" s="17"/>
      <c r="X222" s="11"/>
      <c r="Y222" s="18"/>
      <c r="Z222" s="19"/>
      <c r="AA222" s="18"/>
      <c r="AB222" s="10"/>
      <c r="AC222" s="29"/>
    </row>
    <row r="223" spans="13:29" x14ac:dyDescent="0.25">
      <c r="M223" s="9"/>
      <c r="N223" s="10"/>
      <c r="O223" s="11"/>
      <c r="P223" s="12"/>
      <c r="Q223" s="27"/>
      <c r="R223" s="14"/>
      <c r="S223" s="28"/>
      <c r="T223" s="15"/>
      <c r="U223" s="16"/>
      <c r="V223" s="17"/>
      <c r="W223" s="17"/>
      <c r="X223" s="11"/>
      <c r="Y223" s="18"/>
      <c r="Z223" s="19"/>
      <c r="AA223" s="18"/>
      <c r="AB223" s="20"/>
      <c r="AC223" s="29"/>
    </row>
    <row r="224" spans="13:29" x14ac:dyDescent="0.25">
      <c r="M224" s="9"/>
      <c r="N224" s="10"/>
      <c r="O224" s="11"/>
      <c r="P224" s="12"/>
      <c r="Q224" s="27"/>
      <c r="R224" s="14"/>
      <c r="S224" s="28"/>
      <c r="T224" s="15"/>
      <c r="U224" s="16"/>
      <c r="V224" s="17"/>
      <c r="W224" s="17"/>
      <c r="X224" s="11"/>
      <c r="Y224" s="18"/>
      <c r="Z224" s="19"/>
      <c r="AA224" s="18"/>
      <c r="AB224" s="10"/>
      <c r="AC224" s="29"/>
    </row>
    <row r="225" spans="13:29" x14ac:dyDescent="0.25">
      <c r="M225" s="9"/>
      <c r="N225" s="10"/>
      <c r="O225" s="11"/>
      <c r="P225" s="12"/>
      <c r="Q225" s="27"/>
      <c r="R225" s="14"/>
      <c r="S225" s="28"/>
      <c r="T225" s="15"/>
      <c r="U225" s="16"/>
      <c r="V225" s="17"/>
      <c r="W225" s="17"/>
      <c r="X225" s="11"/>
      <c r="Y225" s="18"/>
      <c r="Z225" s="19"/>
      <c r="AA225" s="18"/>
      <c r="AB225" s="10"/>
      <c r="AC225" s="29"/>
    </row>
    <row r="226" spans="13:29" x14ac:dyDescent="0.25">
      <c r="M226" s="9"/>
      <c r="N226" s="10"/>
      <c r="O226" s="11"/>
      <c r="P226" s="12"/>
      <c r="Q226" s="27"/>
      <c r="R226" s="14"/>
      <c r="S226" s="28"/>
      <c r="T226" s="15"/>
      <c r="U226" s="16"/>
      <c r="V226" s="17"/>
      <c r="W226" s="17"/>
      <c r="X226" s="11"/>
      <c r="Y226" s="18"/>
      <c r="Z226" s="19"/>
      <c r="AA226" s="18"/>
      <c r="AB226" s="10"/>
      <c r="AC226" s="29"/>
    </row>
    <row r="227" spans="13:29" x14ac:dyDescent="0.25">
      <c r="M227" s="9"/>
      <c r="N227" s="10"/>
      <c r="O227" s="11"/>
      <c r="P227" s="12"/>
      <c r="Q227" s="27"/>
      <c r="R227" s="14"/>
      <c r="S227" s="28"/>
      <c r="T227" s="15"/>
      <c r="U227" s="16"/>
      <c r="V227" s="17"/>
      <c r="W227" s="17"/>
      <c r="X227" s="11"/>
      <c r="Y227" s="18"/>
      <c r="Z227" s="19"/>
      <c r="AA227" s="18"/>
      <c r="AB227" s="20"/>
      <c r="AC227" s="29"/>
    </row>
    <row r="228" spans="13:29" x14ac:dyDescent="0.25">
      <c r="M228" s="9"/>
      <c r="N228" s="10"/>
      <c r="O228" s="11"/>
      <c r="P228" s="12"/>
      <c r="Q228" s="27"/>
      <c r="R228" s="14"/>
      <c r="S228" s="28"/>
      <c r="T228" s="15"/>
      <c r="U228" s="16"/>
      <c r="V228" s="17"/>
      <c r="W228" s="17"/>
      <c r="X228" s="11"/>
      <c r="Y228" s="18"/>
      <c r="Z228" s="19"/>
      <c r="AA228" s="18"/>
      <c r="AB228" s="10"/>
      <c r="AC228" s="29"/>
    </row>
    <row r="229" spans="13:29" x14ac:dyDescent="0.25">
      <c r="M229" s="9"/>
      <c r="N229" s="10"/>
      <c r="O229" s="11"/>
      <c r="P229" s="12"/>
      <c r="Q229" s="27"/>
      <c r="R229" s="14"/>
      <c r="S229" s="28"/>
      <c r="T229" s="15"/>
      <c r="U229" s="16"/>
      <c r="V229" s="17"/>
      <c r="W229" s="17"/>
      <c r="X229" s="11"/>
      <c r="Y229" s="18"/>
      <c r="Z229" s="19"/>
      <c r="AA229" s="18"/>
      <c r="AB229" s="10"/>
      <c r="AC229" s="29"/>
    </row>
    <row r="230" spans="13:29" x14ac:dyDescent="0.25">
      <c r="M230" s="9"/>
      <c r="N230" s="10"/>
      <c r="O230" s="11"/>
      <c r="P230" s="12"/>
      <c r="Q230" s="27"/>
      <c r="R230" s="14"/>
      <c r="S230" s="28"/>
      <c r="T230" s="15"/>
      <c r="U230" s="16"/>
      <c r="V230" s="17"/>
      <c r="W230" s="17"/>
      <c r="X230" s="11"/>
      <c r="Y230" s="18"/>
      <c r="Z230" s="19"/>
      <c r="AA230" s="18"/>
      <c r="AB230" s="20"/>
      <c r="AC230" s="29"/>
    </row>
    <row r="231" spans="13:29" x14ac:dyDescent="0.25">
      <c r="M231" s="9"/>
      <c r="N231" s="10"/>
      <c r="O231" s="11"/>
      <c r="P231" s="12"/>
      <c r="Q231" s="27"/>
      <c r="R231" s="14"/>
      <c r="S231" s="28"/>
      <c r="T231" s="15"/>
      <c r="U231" s="16"/>
      <c r="V231" s="17"/>
      <c r="W231" s="17"/>
      <c r="X231" s="11"/>
      <c r="Y231" s="18"/>
      <c r="Z231" s="19"/>
      <c r="AA231" s="18"/>
      <c r="AB231" s="20"/>
      <c r="AC231" s="29"/>
    </row>
    <row r="232" spans="13:29" x14ac:dyDescent="0.25">
      <c r="M232" s="9"/>
      <c r="N232" s="10"/>
      <c r="O232" s="11"/>
      <c r="P232" s="12"/>
      <c r="Q232" s="27"/>
      <c r="R232" s="14"/>
      <c r="S232" s="28"/>
      <c r="T232" s="15"/>
      <c r="U232" s="16"/>
      <c r="V232" s="17"/>
      <c r="W232" s="17"/>
      <c r="X232" s="11"/>
      <c r="Y232" s="18"/>
      <c r="Z232" s="19"/>
      <c r="AA232" s="18"/>
      <c r="AB232" s="10"/>
      <c r="AC232" s="29"/>
    </row>
    <row r="233" spans="13:29" x14ac:dyDescent="0.25">
      <c r="M233" s="9"/>
      <c r="N233" s="10"/>
      <c r="O233" s="11"/>
      <c r="P233" s="12"/>
      <c r="Q233" s="27"/>
      <c r="R233" s="14"/>
      <c r="S233" s="28"/>
      <c r="T233" s="15"/>
      <c r="U233" s="16"/>
      <c r="V233" s="17"/>
      <c r="W233" s="17"/>
      <c r="X233" s="11"/>
      <c r="Y233" s="18"/>
      <c r="Z233" s="19"/>
      <c r="AA233" s="18"/>
      <c r="AB233" s="10"/>
      <c r="AC233" s="29"/>
    </row>
    <row r="234" spans="13:29" x14ac:dyDescent="0.25">
      <c r="M234" s="9"/>
      <c r="N234" s="10"/>
      <c r="O234" s="11"/>
      <c r="P234" s="12"/>
      <c r="Q234" s="27"/>
      <c r="R234" s="14"/>
      <c r="S234" s="28"/>
      <c r="T234" s="15"/>
      <c r="U234" s="16"/>
      <c r="V234" s="17"/>
      <c r="W234" s="17"/>
      <c r="X234" s="11"/>
      <c r="Y234" s="18"/>
      <c r="Z234" s="19"/>
      <c r="AA234" s="18"/>
      <c r="AB234" s="10"/>
      <c r="AC234" s="29"/>
    </row>
    <row r="235" spans="13:29" x14ac:dyDescent="0.25">
      <c r="M235" s="9"/>
      <c r="N235" s="10"/>
      <c r="O235" s="11"/>
      <c r="P235" s="12"/>
      <c r="Q235" s="27"/>
      <c r="R235" s="14"/>
      <c r="S235" s="28"/>
      <c r="T235" s="15"/>
      <c r="U235" s="16"/>
      <c r="V235" s="17"/>
      <c r="W235" s="17"/>
      <c r="X235" s="11"/>
      <c r="Y235" s="18"/>
      <c r="Z235" s="19"/>
      <c r="AA235" s="18"/>
      <c r="AB235" s="10"/>
      <c r="AC235" s="29"/>
    </row>
    <row r="236" spans="13:29" x14ac:dyDescent="0.25">
      <c r="M236" s="9"/>
      <c r="N236" s="10"/>
      <c r="O236" s="11"/>
      <c r="P236" s="12"/>
      <c r="Q236" s="27"/>
      <c r="R236" s="14"/>
      <c r="S236" s="28"/>
      <c r="T236" s="15"/>
      <c r="U236" s="16"/>
      <c r="V236" s="17"/>
      <c r="W236" s="17"/>
      <c r="X236" s="11"/>
      <c r="Y236" s="18"/>
      <c r="Z236" s="19"/>
      <c r="AA236" s="18"/>
      <c r="AB236" s="10"/>
      <c r="AC236" s="29"/>
    </row>
    <row r="237" spans="13:29" x14ac:dyDescent="0.25">
      <c r="M237" s="9"/>
      <c r="N237" s="10"/>
      <c r="O237" s="11"/>
      <c r="P237" s="12"/>
      <c r="Q237" s="27"/>
      <c r="R237" s="14"/>
      <c r="S237" s="28"/>
      <c r="T237" s="15"/>
      <c r="U237" s="16"/>
      <c r="V237" s="17"/>
      <c r="W237" s="17"/>
      <c r="X237" s="11"/>
      <c r="Y237" s="18"/>
      <c r="Z237" s="19"/>
      <c r="AA237" s="18"/>
      <c r="AB237" s="20"/>
      <c r="AC237" s="29"/>
    </row>
    <row r="238" spans="13:29" x14ac:dyDescent="0.25">
      <c r="M238" s="9"/>
      <c r="N238" s="10"/>
      <c r="O238" s="11"/>
      <c r="P238" s="12"/>
      <c r="Q238" s="27"/>
      <c r="R238" s="14"/>
      <c r="S238" s="28"/>
      <c r="T238" s="15"/>
      <c r="U238" s="16"/>
      <c r="V238" s="17"/>
      <c r="W238" s="17"/>
      <c r="X238" s="11"/>
      <c r="Y238" s="18"/>
      <c r="Z238" s="19"/>
      <c r="AA238" s="18"/>
      <c r="AB238" s="10"/>
      <c r="AC238" s="29"/>
    </row>
    <row r="239" spans="13:29" x14ac:dyDescent="0.25">
      <c r="M239" s="9"/>
      <c r="N239" s="10"/>
      <c r="O239" s="11"/>
      <c r="P239" s="12"/>
      <c r="Q239" s="27"/>
      <c r="R239" s="14"/>
      <c r="S239" s="28"/>
      <c r="T239" s="15"/>
      <c r="U239" s="16"/>
      <c r="V239" s="17"/>
      <c r="W239" s="17"/>
      <c r="X239" s="11"/>
      <c r="Y239" s="18"/>
      <c r="Z239" s="19"/>
      <c r="AA239" s="18"/>
      <c r="AB239" s="10"/>
      <c r="AC239" s="29"/>
    </row>
    <row r="240" spans="13:29" x14ac:dyDescent="0.25">
      <c r="M240" s="9"/>
      <c r="N240" s="10"/>
      <c r="O240" s="11"/>
      <c r="P240" s="12"/>
      <c r="Q240" s="27"/>
      <c r="R240" s="14"/>
      <c r="S240" s="28"/>
      <c r="T240" s="15"/>
      <c r="U240" s="16"/>
      <c r="V240" s="17"/>
      <c r="W240" s="17"/>
      <c r="X240" s="11"/>
      <c r="Y240" s="18"/>
      <c r="Z240" s="19"/>
      <c r="AA240" s="18"/>
      <c r="AB240" s="20"/>
      <c r="AC240" s="29"/>
    </row>
    <row r="241" spans="13:29" x14ac:dyDescent="0.25">
      <c r="M241" s="9"/>
      <c r="N241" s="10"/>
      <c r="O241" s="11"/>
      <c r="P241" s="12"/>
      <c r="Q241" s="27"/>
      <c r="R241" s="14"/>
      <c r="S241" s="28"/>
      <c r="T241" s="15"/>
      <c r="U241" s="16"/>
      <c r="V241" s="17"/>
      <c r="W241" s="17"/>
      <c r="X241" s="11"/>
      <c r="Y241" s="18"/>
      <c r="Z241" s="19"/>
      <c r="AA241" s="18"/>
      <c r="AB241" s="20"/>
      <c r="AC241" s="29"/>
    </row>
    <row r="242" spans="13:29" x14ac:dyDescent="0.25">
      <c r="M242" s="9"/>
      <c r="N242" s="10"/>
      <c r="O242" s="11"/>
      <c r="P242" s="12"/>
      <c r="Q242" s="27"/>
      <c r="R242" s="14"/>
      <c r="S242" s="28"/>
      <c r="T242" s="15"/>
      <c r="U242" s="16"/>
      <c r="V242" s="17"/>
      <c r="W242" s="17"/>
      <c r="X242" s="11"/>
      <c r="Y242" s="18"/>
      <c r="Z242" s="19"/>
      <c r="AA242" s="18"/>
      <c r="AB242" s="20"/>
      <c r="AC242" s="29"/>
    </row>
    <row r="243" spans="13:29" x14ac:dyDescent="0.25">
      <c r="M243" s="9"/>
      <c r="N243" s="10"/>
      <c r="O243" s="11"/>
      <c r="P243" s="12"/>
      <c r="Q243" s="27"/>
      <c r="R243" s="14"/>
      <c r="S243" s="28"/>
      <c r="T243" s="15"/>
      <c r="U243" s="16"/>
      <c r="V243" s="17"/>
      <c r="W243" s="17"/>
      <c r="X243" s="11"/>
      <c r="Y243" s="18"/>
      <c r="Z243" s="19"/>
      <c r="AA243" s="18"/>
      <c r="AB243" s="20"/>
      <c r="AC243" s="29"/>
    </row>
    <row r="244" spans="13:29" x14ac:dyDescent="0.25">
      <c r="M244" s="9"/>
      <c r="N244" s="10"/>
      <c r="O244" s="11"/>
      <c r="P244" s="12"/>
      <c r="Q244" s="27"/>
      <c r="R244" s="14"/>
      <c r="S244" s="28"/>
      <c r="T244" s="15"/>
      <c r="U244" s="16"/>
      <c r="V244" s="17"/>
      <c r="W244" s="17"/>
      <c r="X244" s="11"/>
      <c r="Y244" s="32"/>
      <c r="Z244" s="19"/>
      <c r="AA244" s="18"/>
      <c r="AB244" s="20"/>
      <c r="AC244" s="29"/>
    </row>
    <row r="245" spans="13:29" x14ac:dyDescent="0.25">
      <c r="M245" s="9"/>
      <c r="N245" s="10"/>
      <c r="O245" s="11"/>
      <c r="P245" s="12"/>
      <c r="Q245" s="27"/>
      <c r="R245" s="14"/>
      <c r="S245" s="28"/>
      <c r="T245" s="15"/>
      <c r="U245" s="16"/>
      <c r="V245" s="17"/>
      <c r="W245" s="17"/>
      <c r="X245" s="11"/>
      <c r="Y245" s="18"/>
      <c r="Z245" s="19"/>
      <c r="AA245" s="18"/>
      <c r="AB245" s="20"/>
      <c r="AC245" s="29"/>
    </row>
    <row r="246" spans="13:29" x14ac:dyDescent="0.25">
      <c r="M246" s="9"/>
      <c r="N246" s="10"/>
      <c r="O246" s="11"/>
      <c r="P246" s="12"/>
      <c r="Q246" s="27"/>
      <c r="R246" s="14"/>
      <c r="S246" s="28"/>
      <c r="T246" s="15"/>
      <c r="U246" s="16"/>
      <c r="V246" s="17"/>
      <c r="W246" s="17"/>
      <c r="X246" s="11"/>
      <c r="Y246" s="18"/>
      <c r="Z246" s="19"/>
      <c r="AA246" s="18"/>
      <c r="AB246" s="20"/>
      <c r="AC246" s="29"/>
    </row>
    <row r="247" spans="13:29" x14ac:dyDescent="0.25">
      <c r="M247" s="9"/>
      <c r="N247" s="10"/>
      <c r="O247" s="11"/>
      <c r="P247" s="12"/>
      <c r="Q247" s="27"/>
      <c r="R247" s="14"/>
      <c r="S247" s="28"/>
      <c r="T247" s="15"/>
      <c r="U247" s="16"/>
      <c r="V247" s="17"/>
      <c r="W247" s="17"/>
      <c r="X247" s="11"/>
      <c r="Y247" s="18"/>
      <c r="Z247" s="19"/>
      <c r="AA247" s="18"/>
      <c r="AB247" s="20"/>
      <c r="AC247" s="29"/>
    </row>
    <row r="248" spans="13:29" x14ac:dyDescent="0.25">
      <c r="M248" s="9"/>
      <c r="N248" s="10"/>
      <c r="O248" s="11"/>
      <c r="P248" s="12"/>
      <c r="Q248" s="27"/>
      <c r="R248" s="14"/>
      <c r="S248" s="28"/>
      <c r="T248" s="15"/>
      <c r="U248" s="16"/>
      <c r="V248" s="17"/>
      <c r="W248" s="17"/>
      <c r="X248" s="11"/>
      <c r="Y248" s="18"/>
      <c r="Z248" s="19"/>
      <c r="AA248" s="18"/>
      <c r="AB248" s="20"/>
      <c r="AC248" s="29"/>
    </row>
    <row r="249" spans="13:29" x14ac:dyDescent="0.25">
      <c r="M249" s="9"/>
      <c r="N249" s="10"/>
      <c r="O249" s="11"/>
      <c r="P249" s="12"/>
      <c r="Q249" s="27"/>
      <c r="R249" s="14"/>
      <c r="S249" s="28"/>
      <c r="T249" s="15"/>
      <c r="U249" s="16"/>
      <c r="V249" s="17"/>
      <c r="W249" s="17"/>
      <c r="X249" s="11"/>
      <c r="Y249" s="18"/>
      <c r="Z249" s="19"/>
      <c r="AA249" s="18"/>
      <c r="AB249" s="20"/>
      <c r="AC249" s="29"/>
    </row>
    <row r="250" spans="13:29" x14ac:dyDescent="0.25">
      <c r="M250" s="9"/>
      <c r="N250" s="10"/>
      <c r="O250" s="11"/>
      <c r="P250" s="12"/>
      <c r="Q250" s="27"/>
      <c r="R250" s="14"/>
      <c r="S250" s="28"/>
      <c r="T250" s="15"/>
      <c r="U250" s="16"/>
      <c r="V250" s="17"/>
      <c r="W250" s="17"/>
      <c r="X250" s="11"/>
      <c r="Y250" s="18"/>
      <c r="Z250" s="19"/>
      <c r="AA250" s="18"/>
      <c r="AB250" s="20"/>
      <c r="AC250" s="29"/>
    </row>
    <row r="251" spans="13:29" x14ac:dyDescent="0.25">
      <c r="M251" s="9"/>
      <c r="N251" s="10"/>
      <c r="O251" s="11"/>
      <c r="P251" s="12"/>
      <c r="Q251" s="27"/>
      <c r="R251" s="14"/>
      <c r="S251" s="28"/>
      <c r="T251" s="15"/>
      <c r="U251" s="16"/>
      <c r="V251" s="17"/>
      <c r="W251" s="17"/>
      <c r="X251" s="11"/>
      <c r="Y251" s="18"/>
      <c r="Z251" s="34"/>
      <c r="AA251" s="18"/>
      <c r="AB251" s="20"/>
      <c r="AC251" s="29"/>
    </row>
    <row r="252" spans="13:29" x14ac:dyDescent="0.25">
      <c r="M252" s="9"/>
      <c r="N252" s="10"/>
      <c r="O252" s="11"/>
      <c r="P252" s="12"/>
      <c r="Q252" s="27"/>
      <c r="R252" s="14"/>
      <c r="S252" s="28"/>
      <c r="T252" s="15"/>
      <c r="U252" s="16"/>
      <c r="V252" s="17"/>
      <c r="W252" s="17"/>
      <c r="X252" s="11"/>
      <c r="Y252" s="18"/>
      <c r="Z252" s="19"/>
      <c r="AA252" s="18"/>
      <c r="AB252" s="20"/>
      <c r="AC252" s="29"/>
    </row>
    <row r="253" spans="13:29" x14ac:dyDescent="0.25">
      <c r="M253" s="9"/>
      <c r="N253" s="10"/>
      <c r="O253" s="11"/>
      <c r="P253" s="12"/>
      <c r="Q253" s="27"/>
      <c r="R253" s="14"/>
      <c r="S253" s="28"/>
      <c r="T253" s="15"/>
      <c r="U253" s="16"/>
      <c r="V253" s="17"/>
      <c r="W253" s="17"/>
      <c r="X253" s="11"/>
      <c r="Y253" s="18"/>
      <c r="Z253" s="19"/>
      <c r="AA253" s="18"/>
      <c r="AB253" s="20"/>
      <c r="AC253" s="29"/>
    </row>
    <row r="254" spans="13:29" x14ac:dyDescent="0.25">
      <c r="M254" s="9"/>
      <c r="N254" s="10"/>
      <c r="O254" s="11"/>
      <c r="P254" s="12"/>
      <c r="Q254" s="27"/>
      <c r="R254" s="14"/>
      <c r="S254" s="28"/>
      <c r="T254" s="15"/>
      <c r="U254" s="16"/>
      <c r="V254" s="17"/>
      <c r="W254" s="17"/>
      <c r="X254" s="11"/>
      <c r="Y254" s="18"/>
      <c r="Z254" s="19"/>
      <c r="AA254" s="18"/>
      <c r="AB254" s="20"/>
      <c r="AC254" s="29"/>
    </row>
    <row r="255" spans="13:29" x14ac:dyDescent="0.25">
      <c r="M255" s="9"/>
      <c r="N255" s="10"/>
      <c r="O255" s="11"/>
      <c r="P255" s="12"/>
      <c r="Q255" s="27"/>
      <c r="R255" s="14"/>
      <c r="S255" s="28"/>
      <c r="T255" s="15"/>
      <c r="U255" s="16"/>
      <c r="V255" s="17"/>
      <c r="W255" s="17"/>
      <c r="X255" s="11"/>
      <c r="Y255" s="18"/>
      <c r="Z255" s="19"/>
      <c r="AA255" s="18"/>
      <c r="AB255" s="20"/>
      <c r="AC255" s="29"/>
    </row>
    <row r="256" spans="13:29" x14ac:dyDescent="0.25">
      <c r="M256" s="9"/>
      <c r="N256" s="10"/>
      <c r="O256" s="11"/>
      <c r="P256" s="12"/>
      <c r="Q256" s="27"/>
      <c r="R256" s="14"/>
      <c r="S256" s="28"/>
      <c r="T256" s="15"/>
      <c r="U256" s="16"/>
      <c r="V256" s="17"/>
      <c r="W256" s="17"/>
      <c r="X256" s="11"/>
      <c r="Y256" s="18"/>
      <c r="Z256" s="19"/>
      <c r="AA256" s="18"/>
      <c r="AB256" s="20"/>
      <c r="AC256" s="29"/>
    </row>
    <row r="257" spans="13:29" x14ac:dyDescent="0.25">
      <c r="M257" s="9"/>
      <c r="N257" s="10"/>
      <c r="O257" s="11"/>
      <c r="P257" s="12"/>
      <c r="Q257" s="27"/>
      <c r="R257" s="14"/>
      <c r="S257" s="28"/>
      <c r="T257" s="15"/>
      <c r="U257" s="16"/>
      <c r="V257" s="17"/>
      <c r="W257" s="17"/>
      <c r="X257" s="11"/>
      <c r="Y257" s="18"/>
      <c r="Z257" s="34"/>
      <c r="AA257" s="18"/>
      <c r="AB257" s="20"/>
      <c r="AC257" s="29"/>
    </row>
    <row r="258" spans="13:29" x14ac:dyDescent="0.25">
      <c r="M258" s="9"/>
      <c r="N258" s="10"/>
      <c r="O258" s="11"/>
      <c r="P258" s="12"/>
      <c r="Q258" s="27"/>
      <c r="R258" s="14"/>
      <c r="S258" s="28"/>
      <c r="T258" s="15"/>
      <c r="U258" s="16"/>
      <c r="V258" s="17"/>
      <c r="W258" s="17"/>
      <c r="X258" s="11"/>
      <c r="Y258" s="18"/>
      <c r="Z258" s="19"/>
      <c r="AA258" s="18"/>
      <c r="AB258" s="20"/>
      <c r="AC258" s="29"/>
    </row>
    <row r="259" spans="13:29" x14ac:dyDescent="0.25">
      <c r="M259" s="9"/>
      <c r="N259" s="10"/>
      <c r="O259" s="11"/>
      <c r="P259" s="12"/>
      <c r="Q259" s="27"/>
      <c r="R259" s="14"/>
      <c r="S259" s="28"/>
      <c r="T259" s="15"/>
      <c r="U259" s="16"/>
      <c r="V259" s="17"/>
      <c r="W259" s="17"/>
      <c r="X259" s="11"/>
      <c r="Y259" s="18"/>
      <c r="Z259" s="19"/>
      <c r="AA259" s="18"/>
      <c r="AB259" s="20"/>
      <c r="AC259" s="29"/>
    </row>
    <row r="260" spans="13:29" x14ac:dyDescent="0.25">
      <c r="M260" s="9"/>
      <c r="N260" s="10"/>
      <c r="O260" s="11"/>
      <c r="P260" s="12"/>
      <c r="Q260" s="27"/>
      <c r="R260" s="14"/>
      <c r="S260" s="28"/>
      <c r="T260" s="15"/>
      <c r="U260" s="16"/>
      <c r="V260" s="17"/>
      <c r="W260" s="17"/>
      <c r="X260" s="11"/>
      <c r="Y260" s="18"/>
      <c r="Z260" s="19"/>
      <c r="AA260" s="18"/>
      <c r="AB260" s="10"/>
      <c r="AC260" s="29"/>
    </row>
    <row r="261" spans="13:29" x14ac:dyDescent="0.25">
      <c r="M261" s="9"/>
      <c r="N261" s="10"/>
      <c r="O261" s="11"/>
      <c r="P261" s="12"/>
      <c r="Q261" s="27"/>
      <c r="R261" s="14"/>
      <c r="S261" s="28"/>
      <c r="T261" s="15"/>
      <c r="U261" s="16"/>
      <c r="V261" s="17"/>
      <c r="W261" s="17"/>
      <c r="X261" s="11"/>
      <c r="Y261" s="18"/>
      <c r="Z261" s="19"/>
      <c r="AA261" s="18"/>
      <c r="AB261" s="20"/>
      <c r="AC261" s="29"/>
    </row>
    <row r="262" spans="13:29" x14ac:dyDescent="0.25">
      <c r="M262" s="9"/>
      <c r="N262" s="10"/>
      <c r="O262" s="11"/>
      <c r="P262" s="12"/>
      <c r="Q262" s="27"/>
      <c r="R262" s="14"/>
      <c r="S262" s="28"/>
      <c r="T262" s="15"/>
      <c r="U262" s="16"/>
      <c r="V262" s="17"/>
      <c r="W262" s="17"/>
      <c r="X262" s="11"/>
      <c r="Y262" s="18"/>
      <c r="Z262" s="19"/>
      <c r="AA262" s="18"/>
      <c r="AB262" s="10"/>
      <c r="AC262" s="29"/>
    </row>
    <row r="263" spans="13:29" x14ac:dyDescent="0.25">
      <c r="M263" s="9"/>
      <c r="N263" s="10"/>
      <c r="O263" s="11"/>
      <c r="P263" s="12"/>
      <c r="Q263" s="27"/>
      <c r="R263" s="14"/>
      <c r="S263" s="28"/>
      <c r="T263" s="15"/>
      <c r="U263" s="16"/>
      <c r="V263" s="17"/>
      <c r="W263" s="17"/>
      <c r="X263" s="11"/>
      <c r="Y263" s="18"/>
      <c r="Z263" s="19"/>
      <c r="AA263" s="18"/>
      <c r="AB263" s="20"/>
      <c r="AC263" s="29"/>
    </row>
    <row r="264" spans="13:29" x14ac:dyDescent="0.25">
      <c r="M264" s="9"/>
      <c r="N264" s="10"/>
      <c r="O264" s="11"/>
      <c r="P264" s="12"/>
      <c r="Q264" s="27"/>
      <c r="R264" s="14"/>
      <c r="S264" s="28"/>
      <c r="T264" s="15"/>
      <c r="U264" s="16"/>
      <c r="V264" s="17"/>
      <c r="W264" s="17"/>
      <c r="X264" s="11"/>
      <c r="Y264" s="18"/>
      <c r="Z264" s="19"/>
      <c r="AA264" s="18"/>
      <c r="AB264" s="20"/>
      <c r="AC264" s="29"/>
    </row>
    <row r="265" spans="13:29" x14ac:dyDescent="0.25">
      <c r="M265" s="9"/>
      <c r="N265" s="10"/>
      <c r="O265" s="11"/>
      <c r="P265" s="12"/>
      <c r="Q265" s="27"/>
      <c r="R265" s="14"/>
      <c r="S265" s="28"/>
      <c r="T265" s="15"/>
      <c r="U265" s="16"/>
      <c r="V265" s="17"/>
      <c r="W265" s="17"/>
      <c r="X265" s="11"/>
      <c r="Y265" s="18"/>
      <c r="Z265" s="19"/>
      <c r="AA265" s="18"/>
      <c r="AB265" s="20"/>
      <c r="AC265" s="29"/>
    </row>
    <row r="266" spans="13:29" x14ac:dyDescent="0.25">
      <c r="M266" s="9"/>
      <c r="N266" s="10"/>
      <c r="O266" s="11"/>
      <c r="P266" s="12"/>
      <c r="Q266" s="27"/>
      <c r="R266" s="14"/>
      <c r="S266" s="28"/>
      <c r="T266" s="15"/>
      <c r="U266" s="16"/>
      <c r="V266" s="17"/>
      <c r="W266" s="17"/>
      <c r="X266" s="11"/>
      <c r="Y266" s="18"/>
      <c r="Z266" s="19"/>
      <c r="AA266" s="18"/>
      <c r="AB266" s="20"/>
      <c r="AC266" s="29"/>
    </row>
    <row r="267" spans="13:29" x14ac:dyDescent="0.25">
      <c r="M267" s="9"/>
      <c r="N267" s="10"/>
      <c r="O267" s="11"/>
      <c r="P267" s="12"/>
      <c r="Q267" s="27"/>
      <c r="R267" s="14"/>
      <c r="S267" s="28"/>
      <c r="T267" s="15"/>
      <c r="U267" s="16"/>
      <c r="V267" s="17"/>
      <c r="W267" s="17"/>
      <c r="X267" s="11"/>
      <c r="Y267" s="18"/>
      <c r="Z267" s="19"/>
      <c r="AA267" s="18"/>
      <c r="AB267" s="20"/>
      <c r="AC267" s="29"/>
    </row>
    <row r="268" spans="13:29" x14ac:dyDescent="0.25">
      <c r="M268" s="9"/>
      <c r="N268" s="10"/>
      <c r="O268" s="11"/>
      <c r="P268" s="12"/>
      <c r="Q268" s="27"/>
      <c r="R268" s="14"/>
      <c r="S268" s="28"/>
      <c r="T268" s="15"/>
      <c r="U268" s="16"/>
      <c r="V268" s="17"/>
      <c r="W268" s="17"/>
      <c r="X268" s="11"/>
      <c r="Y268" s="18"/>
      <c r="Z268" s="19"/>
      <c r="AA268" s="18"/>
      <c r="AB268" s="20"/>
      <c r="AC268" s="29"/>
    </row>
    <row r="269" spans="13:29" x14ac:dyDescent="0.25">
      <c r="M269" s="9"/>
      <c r="N269" s="10"/>
      <c r="O269" s="11"/>
      <c r="P269" s="12"/>
      <c r="Q269" s="27"/>
      <c r="R269" s="14"/>
      <c r="S269" s="28"/>
      <c r="T269" s="15"/>
      <c r="U269" s="16"/>
      <c r="V269" s="17"/>
      <c r="W269" s="17"/>
      <c r="X269" s="11"/>
      <c r="Y269" s="18"/>
      <c r="Z269" s="19"/>
      <c r="AA269" s="18"/>
      <c r="AB269" s="20"/>
      <c r="AC269" s="29"/>
    </row>
    <row r="270" spans="13:29" x14ac:dyDescent="0.25">
      <c r="M270" s="9"/>
      <c r="N270" s="10"/>
      <c r="O270" s="11"/>
      <c r="P270" s="12"/>
      <c r="Q270" s="27"/>
      <c r="R270" s="14"/>
      <c r="S270" s="28"/>
      <c r="T270" s="15"/>
      <c r="U270" s="16"/>
      <c r="V270" s="17"/>
      <c r="W270" s="17"/>
      <c r="X270" s="11"/>
      <c r="Y270" s="18"/>
      <c r="Z270" s="34"/>
      <c r="AA270" s="18"/>
      <c r="AB270" s="20"/>
      <c r="AC270" s="29"/>
    </row>
    <row r="271" spans="13:29" x14ac:dyDescent="0.25">
      <c r="M271" s="9"/>
      <c r="N271" s="10"/>
      <c r="O271" s="11"/>
      <c r="P271" s="12"/>
      <c r="Q271" s="27"/>
      <c r="R271" s="14"/>
      <c r="S271" s="28"/>
      <c r="T271" s="15"/>
      <c r="U271" s="16"/>
      <c r="V271" s="17"/>
      <c r="W271" s="17"/>
      <c r="X271" s="11"/>
      <c r="Y271" s="18"/>
      <c r="Z271" s="19"/>
      <c r="AA271" s="18"/>
      <c r="AB271" s="20"/>
      <c r="AC271" s="29"/>
    </row>
    <row r="272" spans="13:29" x14ac:dyDescent="0.25">
      <c r="M272" s="9"/>
      <c r="N272" s="10"/>
      <c r="O272" s="11"/>
      <c r="P272" s="12"/>
      <c r="Q272" s="27"/>
      <c r="R272" s="14"/>
      <c r="S272" s="28"/>
      <c r="T272" s="15"/>
      <c r="U272" s="16"/>
      <c r="V272" s="17"/>
      <c r="W272" s="17"/>
      <c r="X272" s="11"/>
      <c r="Y272" s="18"/>
      <c r="Z272" s="19"/>
      <c r="AA272" s="18"/>
      <c r="AB272" s="20"/>
      <c r="AC272" s="29"/>
    </row>
    <row r="273" spans="13:29" x14ac:dyDescent="0.25">
      <c r="M273" s="9"/>
      <c r="N273" s="10"/>
      <c r="O273" s="11"/>
      <c r="P273" s="12"/>
      <c r="Q273" s="27"/>
      <c r="R273" s="14"/>
      <c r="S273" s="28"/>
      <c r="T273" s="15"/>
      <c r="U273" s="16"/>
      <c r="V273" s="17"/>
      <c r="W273" s="17"/>
      <c r="X273" s="11"/>
      <c r="Y273" s="18"/>
      <c r="Z273" s="19"/>
      <c r="AA273" s="18"/>
      <c r="AB273" s="20"/>
      <c r="AC273" s="29"/>
    </row>
    <row r="274" spans="13:29" x14ac:dyDescent="0.25">
      <c r="M274" s="9"/>
      <c r="N274" s="10"/>
      <c r="O274" s="11"/>
      <c r="P274" s="12"/>
      <c r="Q274" s="27"/>
      <c r="R274" s="14"/>
      <c r="S274" s="28"/>
      <c r="T274" s="15"/>
      <c r="U274" s="16"/>
      <c r="V274" s="17"/>
      <c r="W274" s="17"/>
      <c r="X274" s="11"/>
      <c r="Y274" s="18"/>
      <c r="Z274" s="19"/>
      <c r="AA274" s="18"/>
      <c r="AB274" s="20"/>
      <c r="AC274" s="29"/>
    </row>
    <row r="275" spans="13:29" x14ac:dyDescent="0.25">
      <c r="M275" s="9"/>
      <c r="N275" s="10"/>
      <c r="O275" s="11"/>
      <c r="P275" s="12"/>
      <c r="Q275" s="27"/>
      <c r="R275" s="14"/>
      <c r="S275" s="28"/>
      <c r="T275" s="15"/>
      <c r="U275" s="16"/>
      <c r="V275" s="17"/>
      <c r="W275" s="17"/>
      <c r="X275" s="11"/>
      <c r="Y275" s="18"/>
      <c r="Z275" s="19"/>
      <c r="AA275" s="18"/>
      <c r="AB275" s="20"/>
      <c r="AC275" s="29"/>
    </row>
    <row r="276" spans="13:29" x14ac:dyDescent="0.25">
      <c r="M276" s="9"/>
      <c r="N276" s="10"/>
      <c r="O276" s="11"/>
      <c r="P276" s="12"/>
      <c r="Q276" s="27"/>
      <c r="R276" s="14"/>
      <c r="S276" s="28"/>
      <c r="T276" s="15"/>
      <c r="U276" s="16"/>
      <c r="V276" s="17"/>
      <c r="W276" s="17"/>
      <c r="X276" s="11"/>
      <c r="Y276" s="18"/>
      <c r="Z276" s="19"/>
      <c r="AA276" s="18"/>
      <c r="AB276" s="20"/>
      <c r="AC276" s="29"/>
    </row>
    <row r="277" spans="13:29" x14ac:dyDescent="0.25">
      <c r="M277" s="9"/>
      <c r="N277" s="10"/>
      <c r="O277" s="11"/>
      <c r="P277" s="12"/>
      <c r="Q277" s="27"/>
      <c r="R277" s="14"/>
      <c r="S277" s="28"/>
      <c r="T277" s="15"/>
      <c r="U277" s="16"/>
      <c r="V277" s="17"/>
      <c r="W277" s="17"/>
      <c r="X277" s="11"/>
      <c r="Y277" s="18"/>
      <c r="Z277" s="19"/>
      <c r="AA277" s="18"/>
      <c r="AB277" s="20"/>
      <c r="AC277" s="29"/>
    </row>
    <row r="278" spans="13:29" x14ac:dyDescent="0.25">
      <c r="M278" s="9"/>
      <c r="N278" s="10"/>
      <c r="O278" s="11"/>
      <c r="P278" s="12"/>
      <c r="Q278" s="27"/>
      <c r="R278" s="14"/>
      <c r="S278" s="28"/>
      <c r="T278" s="15"/>
      <c r="U278" s="16"/>
      <c r="V278" s="17"/>
      <c r="W278" s="17"/>
      <c r="X278" s="11"/>
      <c r="Y278" s="18"/>
      <c r="Z278" s="19"/>
      <c r="AA278" s="18"/>
      <c r="AB278" s="10"/>
      <c r="AC278" s="29"/>
    </row>
    <row r="279" spans="13:29" x14ac:dyDescent="0.25">
      <c r="M279" s="9"/>
      <c r="N279" s="10"/>
      <c r="O279" s="11"/>
      <c r="P279" s="12"/>
      <c r="Q279" s="27"/>
      <c r="R279" s="14"/>
      <c r="S279" s="28"/>
      <c r="T279" s="15"/>
      <c r="U279" s="16"/>
      <c r="V279" s="17"/>
      <c r="W279" s="17"/>
      <c r="X279" s="11"/>
      <c r="Y279" s="18"/>
      <c r="Z279" s="19"/>
      <c r="AA279" s="18"/>
      <c r="AB279" s="20"/>
      <c r="AC279" s="29"/>
    </row>
    <row r="280" spans="13:29" x14ac:dyDescent="0.25">
      <c r="M280" s="9"/>
      <c r="N280" s="10"/>
      <c r="O280" s="11"/>
      <c r="P280" s="12"/>
      <c r="Q280" s="27"/>
      <c r="R280" s="14"/>
      <c r="S280" s="28"/>
      <c r="T280" s="15"/>
      <c r="U280" s="16"/>
      <c r="V280" s="17"/>
      <c r="W280" s="17"/>
      <c r="X280" s="11"/>
      <c r="Y280" s="18"/>
      <c r="Z280" s="19"/>
      <c r="AA280" s="18"/>
      <c r="AB280" s="20"/>
      <c r="AC280" s="29"/>
    </row>
    <row r="281" spans="13:29" x14ac:dyDescent="0.25">
      <c r="M281" s="9"/>
      <c r="N281" s="10"/>
      <c r="O281" s="11"/>
      <c r="P281" s="12"/>
      <c r="Q281" s="27"/>
      <c r="R281" s="14"/>
      <c r="S281" s="28"/>
      <c r="T281" s="15"/>
      <c r="U281" s="16"/>
      <c r="V281" s="17"/>
      <c r="W281" s="17"/>
      <c r="X281" s="11"/>
      <c r="Y281" s="18"/>
      <c r="Z281" s="19"/>
      <c r="AA281" s="18"/>
      <c r="AB281" s="20"/>
      <c r="AC281" s="29"/>
    </row>
    <row r="282" spans="13:29" x14ac:dyDescent="0.25">
      <c r="M282" s="9"/>
      <c r="N282" s="10"/>
      <c r="O282" s="11"/>
      <c r="P282" s="12"/>
      <c r="Q282" s="27"/>
      <c r="R282" s="14"/>
      <c r="S282" s="28"/>
      <c r="T282" s="15"/>
      <c r="U282" s="16"/>
      <c r="V282" s="17"/>
      <c r="W282" s="17"/>
      <c r="X282" s="11"/>
      <c r="Y282" s="18"/>
      <c r="Z282" s="19"/>
      <c r="AA282" s="18"/>
      <c r="AB282" s="20"/>
      <c r="AC282" s="29"/>
    </row>
    <row r="283" spans="13:29" x14ac:dyDescent="0.25">
      <c r="M283" s="9"/>
      <c r="N283" s="10"/>
      <c r="O283" s="11"/>
      <c r="P283" s="12"/>
      <c r="Q283" s="27"/>
      <c r="R283" s="14"/>
      <c r="S283" s="28"/>
      <c r="T283" s="15"/>
      <c r="U283" s="16"/>
      <c r="V283" s="17"/>
      <c r="W283" s="17"/>
      <c r="X283" s="11"/>
      <c r="Y283" s="18"/>
      <c r="Z283" s="19"/>
      <c r="AA283" s="18"/>
      <c r="AB283" s="20"/>
      <c r="AC283" s="29"/>
    </row>
    <row r="284" spans="13:29" x14ac:dyDescent="0.25">
      <c r="M284" s="9"/>
      <c r="N284" s="10"/>
      <c r="O284" s="11"/>
      <c r="P284" s="12"/>
      <c r="Q284" s="27"/>
      <c r="R284" s="14"/>
      <c r="S284" s="28"/>
      <c r="T284" s="15"/>
      <c r="U284" s="16"/>
      <c r="V284" s="17"/>
      <c r="W284" s="17"/>
      <c r="X284" s="11"/>
      <c r="Y284" s="18"/>
      <c r="Z284" s="19"/>
      <c r="AA284" s="18"/>
      <c r="AB284" s="20"/>
      <c r="AC284" s="29"/>
    </row>
    <row r="285" spans="13:29" x14ac:dyDescent="0.25">
      <c r="M285" s="9"/>
      <c r="N285" s="10"/>
      <c r="O285" s="11"/>
      <c r="P285" s="12"/>
      <c r="Q285" s="27"/>
      <c r="R285" s="14"/>
      <c r="S285" s="28"/>
      <c r="T285" s="15"/>
      <c r="U285" s="16"/>
      <c r="V285" s="17"/>
      <c r="W285" s="17"/>
      <c r="X285" s="11"/>
      <c r="Y285" s="18"/>
      <c r="Z285" s="19"/>
      <c r="AA285" s="18"/>
      <c r="AB285" s="20"/>
      <c r="AC285" s="29"/>
    </row>
    <row r="286" spans="13:29" x14ac:dyDescent="0.25">
      <c r="M286" s="9"/>
      <c r="N286" s="10"/>
      <c r="O286" s="11"/>
      <c r="P286" s="12"/>
      <c r="Q286" s="27"/>
      <c r="R286" s="14"/>
      <c r="S286" s="28"/>
      <c r="T286" s="15"/>
      <c r="U286" s="16"/>
      <c r="V286" s="17"/>
      <c r="W286" s="17"/>
      <c r="X286" s="11"/>
      <c r="Y286" s="18"/>
      <c r="Z286" s="19"/>
      <c r="AA286" s="18"/>
      <c r="AB286" s="20"/>
      <c r="AC286" s="29"/>
    </row>
    <row r="287" spans="13:29" x14ac:dyDescent="0.25">
      <c r="M287" s="9"/>
      <c r="N287" s="10"/>
      <c r="O287" s="11"/>
      <c r="P287" s="12"/>
      <c r="Q287" s="27"/>
      <c r="R287" s="14"/>
      <c r="S287" s="28"/>
      <c r="T287" s="15"/>
      <c r="U287" s="16"/>
      <c r="V287" s="17"/>
      <c r="W287" s="17"/>
      <c r="X287" s="11"/>
      <c r="Y287" s="18"/>
      <c r="Z287" s="19"/>
      <c r="AA287" s="18"/>
      <c r="AB287" s="10"/>
      <c r="AC287" s="29"/>
    </row>
    <row r="288" spans="13:29" x14ac:dyDescent="0.25">
      <c r="M288" s="9"/>
      <c r="N288" s="10"/>
      <c r="O288" s="11"/>
      <c r="P288" s="12"/>
      <c r="Q288" s="27"/>
      <c r="R288" s="14"/>
      <c r="S288" s="28"/>
      <c r="T288" s="15"/>
      <c r="U288" s="16"/>
      <c r="V288" s="17"/>
      <c r="W288" s="17"/>
      <c r="X288" s="11"/>
      <c r="Y288" s="18"/>
      <c r="Z288" s="19"/>
      <c r="AA288" s="18"/>
      <c r="AB288" s="20"/>
      <c r="AC288" s="29"/>
    </row>
    <row r="289" spans="13:29" x14ac:dyDescent="0.25">
      <c r="M289" s="9"/>
      <c r="N289" s="10"/>
      <c r="O289" s="11"/>
      <c r="P289" s="12"/>
      <c r="Q289" s="27"/>
      <c r="R289" s="14"/>
      <c r="S289" s="28"/>
      <c r="T289" s="15"/>
      <c r="U289" s="16"/>
      <c r="V289" s="17"/>
      <c r="W289" s="17"/>
      <c r="X289" s="11"/>
      <c r="Y289" s="18"/>
      <c r="Z289" s="19"/>
      <c r="AA289" s="18"/>
      <c r="AB289" s="10"/>
      <c r="AC289" s="29"/>
    </row>
    <row r="290" spans="13:29" x14ac:dyDescent="0.25">
      <c r="M290" s="9"/>
      <c r="N290" s="10"/>
      <c r="O290" s="11"/>
      <c r="P290" s="12"/>
      <c r="Q290" s="27"/>
      <c r="R290" s="14"/>
      <c r="S290" s="28"/>
      <c r="T290" s="15"/>
      <c r="U290" s="16"/>
      <c r="V290" s="17"/>
      <c r="W290" s="17"/>
      <c r="X290" s="11"/>
      <c r="Y290" s="18"/>
      <c r="Z290" s="19"/>
      <c r="AA290" s="18"/>
      <c r="AB290" s="20"/>
      <c r="AC290" s="29"/>
    </row>
    <row r="291" spans="13:29" x14ac:dyDescent="0.25">
      <c r="M291" s="9"/>
      <c r="N291" s="10"/>
      <c r="O291" s="11"/>
      <c r="P291" s="12"/>
      <c r="Q291" s="27"/>
      <c r="R291" s="14"/>
      <c r="S291" s="28"/>
      <c r="T291" s="15"/>
      <c r="U291" s="16"/>
      <c r="V291" s="17"/>
      <c r="W291" s="17"/>
      <c r="X291" s="11"/>
      <c r="Y291" s="18"/>
      <c r="Z291" s="19"/>
      <c r="AA291" s="18"/>
      <c r="AB291" s="10"/>
      <c r="AC291" s="29"/>
    </row>
    <row r="292" spans="13:29" x14ac:dyDescent="0.25">
      <c r="M292" s="9"/>
      <c r="N292" s="10"/>
      <c r="O292" s="11"/>
      <c r="P292" s="12"/>
      <c r="Q292" s="27"/>
      <c r="R292" s="14"/>
      <c r="S292" s="28"/>
      <c r="T292" s="15"/>
      <c r="U292" s="16"/>
      <c r="V292" s="17"/>
      <c r="W292" s="17"/>
      <c r="X292" s="11"/>
      <c r="Y292" s="18"/>
      <c r="Z292" s="19"/>
      <c r="AA292" s="18"/>
      <c r="AB292" s="20"/>
      <c r="AC292" s="29"/>
    </row>
    <row r="293" spans="13:29" x14ac:dyDescent="0.25">
      <c r="M293" s="9"/>
      <c r="N293" s="10"/>
      <c r="O293" s="11"/>
      <c r="P293" s="12"/>
      <c r="Q293" s="27"/>
      <c r="R293" s="14"/>
      <c r="S293" s="28"/>
      <c r="T293" s="15"/>
      <c r="U293" s="16"/>
      <c r="V293" s="17"/>
      <c r="W293" s="17"/>
      <c r="X293" s="11"/>
      <c r="Y293" s="18"/>
      <c r="Z293" s="19"/>
      <c r="AA293" s="18"/>
      <c r="AB293" s="10"/>
      <c r="AC293" s="29"/>
    </row>
    <row r="294" spans="13:29" x14ac:dyDescent="0.25">
      <c r="M294" s="9"/>
      <c r="N294" s="10"/>
      <c r="O294" s="11"/>
      <c r="P294" s="12"/>
      <c r="Q294" s="27"/>
      <c r="R294" s="14"/>
      <c r="S294" s="28"/>
      <c r="T294" s="15"/>
      <c r="U294" s="16"/>
      <c r="V294" s="17"/>
      <c r="W294" s="17"/>
      <c r="X294" s="11"/>
      <c r="Y294" s="18"/>
      <c r="Z294" s="19"/>
      <c r="AA294" s="18"/>
      <c r="AB294" s="10"/>
      <c r="AC294" s="29"/>
    </row>
    <row r="295" spans="13:29" x14ac:dyDescent="0.25">
      <c r="M295" s="9"/>
      <c r="N295" s="10"/>
      <c r="O295" s="11"/>
      <c r="P295" s="12"/>
      <c r="Q295" s="27"/>
      <c r="R295" s="14"/>
      <c r="S295" s="28"/>
      <c r="T295" s="15"/>
      <c r="U295" s="16"/>
      <c r="V295" s="17"/>
      <c r="W295" s="17"/>
      <c r="X295" s="11"/>
      <c r="Y295" s="18"/>
      <c r="Z295" s="19"/>
      <c r="AA295" s="18"/>
      <c r="AB295" s="10"/>
      <c r="AC295" s="29"/>
    </row>
    <row r="296" spans="13:29" x14ac:dyDescent="0.25">
      <c r="M296" s="9"/>
      <c r="N296" s="10"/>
      <c r="O296" s="11"/>
      <c r="P296" s="12"/>
      <c r="Q296" s="27"/>
      <c r="R296" s="14"/>
      <c r="S296" s="28"/>
      <c r="T296" s="15"/>
      <c r="U296" s="16"/>
      <c r="V296" s="17"/>
      <c r="W296" s="17"/>
      <c r="X296" s="11"/>
      <c r="Y296" s="18"/>
      <c r="Z296" s="19"/>
      <c r="AA296" s="18"/>
      <c r="AB296" s="20"/>
      <c r="AC296" s="29"/>
    </row>
    <row r="297" spans="13:29" x14ac:dyDescent="0.25">
      <c r="M297" s="9"/>
      <c r="N297" s="10"/>
      <c r="O297" s="11"/>
      <c r="P297" s="12"/>
      <c r="Q297" s="27"/>
      <c r="R297" s="14"/>
      <c r="S297" s="28"/>
      <c r="T297" s="15"/>
      <c r="U297" s="16"/>
      <c r="V297" s="17"/>
      <c r="W297" s="17"/>
      <c r="X297" s="11"/>
      <c r="Y297" s="18"/>
      <c r="Z297" s="19"/>
      <c r="AA297" s="18"/>
      <c r="AB297" s="20"/>
      <c r="AC297" s="29"/>
    </row>
    <row r="298" spans="13:29" x14ac:dyDescent="0.25">
      <c r="M298" s="9"/>
      <c r="N298" s="10"/>
      <c r="O298" s="11"/>
      <c r="P298" s="12"/>
      <c r="Q298" s="27"/>
      <c r="R298" s="14"/>
      <c r="S298" s="28"/>
      <c r="T298" s="15"/>
      <c r="U298" s="16"/>
      <c r="V298" s="17"/>
      <c r="W298" s="17"/>
      <c r="X298" s="11"/>
      <c r="Y298" s="18"/>
      <c r="Z298" s="19"/>
      <c r="AA298" s="18"/>
      <c r="AB298" s="20"/>
      <c r="AC298" s="29"/>
    </row>
    <row r="299" spans="13:29" x14ac:dyDescent="0.25">
      <c r="M299" s="9"/>
      <c r="N299" s="10"/>
      <c r="O299" s="11"/>
      <c r="P299" s="12"/>
      <c r="Q299" s="27"/>
      <c r="R299" s="14"/>
      <c r="S299" s="28"/>
      <c r="T299" s="15"/>
      <c r="U299" s="16"/>
      <c r="V299" s="17"/>
      <c r="W299" s="17"/>
      <c r="X299" s="11"/>
      <c r="Y299" s="18"/>
      <c r="Z299" s="19"/>
      <c r="AA299" s="18"/>
      <c r="AB299" s="20"/>
      <c r="AC299" s="29"/>
    </row>
    <row r="300" spans="13:29" x14ac:dyDescent="0.25">
      <c r="M300" s="9"/>
      <c r="N300" s="10"/>
      <c r="O300" s="11"/>
      <c r="P300" s="12"/>
      <c r="Q300" s="27"/>
      <c r="R300" s="14"/>
      <c r="S300" s="28"/>
      <c r="T300" s="15"/>
      <c r="U300" s="16"/>
      <c r="V300" s="17"/>
      <c r="W300" s="17"/>
      <c r="X300" s="11"/>
      <c r="Y300" s="18"/>
      <c r="Z300" s="19"/>
      <c r="AA300" s="18"/>
      <c r="AB300" s="20"/>
      <c r="AC300" s="29"/>
    </row>
    <row r="301" spans="13:29" x14ac:dyDescent="0.25">
      <c r="M301" s="9"/>
      <c r="N301" s="10"/>
      <c r="O301" s="11"/>
      <c r="P301" s="12"/>
      <c r="Q301" s="27"/>
      <c r="R301" s="14"/>
      <c r="S301" s="28"/>
      <c r="T301" s="15"/>
      <c r="U301" s="16"/>
      <c r="V301" s="17"/>
      <c r="W301" s="17"/>
      <c r="X301" s="11"/>
      <c r="Y301" s="30"/>
      <c r="Z301" s="19"/>
      <c r="AA301" s="18"/>
      <c r="AB301" s="20"/>
      <c r="AC301" s="29"/>
    </row>
    <row r="302" spans="13:29" x14ac:dyDescent="0.25">
      <c r="M302" s="9"/>
      <c r="N302" s="10"/>
      <c r="O302" s="11"/>
      <c r="P302" s="12"/>
      <c r="Q302" s="27"/>
      <c r="R302" s="14"/>
      <c r="S302" s="28"/>
      <c r="T302" s="15"/>
      <c r="U302" s="16"/>
      <c r="V302" s="17"/>
      <c r="W302" s="17"/>
      <c r="X302" s="11"/>
      <c r="Y302" s="30"/>
      <c r="Z302" s="19"/>
      <c r="AA302" s="18"/>
      <c r="AB302" s="20"/>
      <c r="AC302" s="29"/>
    </row>
    <row r="303" spans="13:29" x14ac:dyDescent="0.25">
      <c r="M303" s="9"/>
      <c r="N303" s="10"/>
      <c r="O303" s="11"/>
      <c r="P303" s="12"/>
      <c r="Q303" s="27"/>
      <c r="R303" s="14"/>
      <c r="S303" s="28"/>
      <c r="T303" s="15"/>
      <c r="U303" s="16"/>
      <c r="V303" s="17"/>
      <c r="W303" s="17"/>
      <c r="X303" s="11"/>
      <c r="Y303" s="30"/>
      <c r="Z303" s="19"/>
      <c r="AA303" s="18"/>
      <c r="AB303" s="20"/>
      <c r="AC303" s="29"/>
    </row>
    <row r="304" spans="13:29" x14ac:dyDescent="0.25">
      <c r="M304" s="9"/>
      <c r="N304" s="10"/>
      <c r="O304" s="11"/>
      <c r="P304" s="12"/>
      <c r="Q304" s="27"/>
      <c r="R304" s="14"/>
      <c r="S304" s="28"/>
      <c r="T304" s="15"/>
      <c r="U304" s="16"/>
      <c r="V304" s="17"/>
      <c r="W304" s="17"/>
      <c r="X304" s="11"/>
      <c r="Y304" s="30"/>
      <c r="Z304" s="19"/>
      <c r="AA304" s="18"/>
      <c r="AB304" s="20"/>
      <c r="AC304" s="29"/>
    </row>
    <row r="305" spans="13:29" x14ac:dyDescent="0.25">
      <c r="M305" s="9"/>
      <c r="N305" s="10"/>
      <c r="O305" s="11"/>
      <c r="P305" s="12"/>
      <c r="Q305" s="27"/>
      <c r="R305" s="14"/>
      <c r="S305" s="28"/>
      <c r="T305" s="15"/>
      <c r="U305" s="16"/>
      <c r="V305" s="17"/>
      <c r="W305" s="17"/>
      <c r="X305" s="11"/>
      <c r="Y305" s="30"/>
      <c r="Z305" s="19"/>
      <c r="AA305" s="18"/>
      <c r="AB305" s="20"/>
      <c r="AC305" s="29"/>
    </row>
    <row r="306" spans="13:29" x14ac:dyDescent="0.25">
      <c r="M306" s="9"/>
      <c r="N306" s="10"/>
      <c r="O306" s="11"/>
      <c r="P306" s="12"/>
      <c r="Q306" s="27"/>
      <c r="R306" s="14"/>
      <c r="S306" s="28"/>
      <c r="T306" s="15"/>
      <c r="U306" s="16"/>
      <c r="V306" s="17"/>
      <c r="W306" s="17"/>
      <c r="X306" s="11"/>
      <c r="Y306" s="30"/>
      <c r="Z306" s="19"/>
      <c r="AA306" s="18"/>
      <c r="AB306" s="20"/>
      <c r="AC306" s="29"/>
    </row>
    <row r="307" spans="13:29" x14ac:dyDescent="0.25">
      <c r="M307" s="9"/>
      <c r="N307" s="10"/>
      <c r="O307" s="11"/>
      <c r="P307" s="12"/>
      <c r="Q307" s="27"/>
      <c r="R307" s="14"/>
      <c r="S307" s="28"/>
      <c r="T307" s="15"/>
      <c r="U307" s="16"/>
      <c r="V307" s="17"/>
      <c r="W307" s="17"/>
      <c r="X307" s="11"/>
      <c r="Y307" s="30"/>
      <c r="Z307" s="19"/>
      <c r="AA307" s="18"/>
      <c r="AB307" s="20"/>
      <c r="AC307" s="29"/>
    </row>
    <row r="308" spans="13:29" x14ac:dyDescent="0.25">
      <c r="M308" s="9"/>
      <c r="N308" s="10"/>
      <c r="O308" s="11"/>
      <c r="P308" s="12"/>
      <c r="Q308" s="27"/>
      <c r="R308" s="14"/>
      <c r="S308" s="28"/>
      <c r="T308" s="15"/>
      <c r="U308" s="16"/>
      <c r="V308" s="17"/>
      <c r="W308" s="17"/>
      <c r="X308" s="11"/>
      <c r="Y308" s="30"/>
      <c r="Z308" s="19"/>
      <c r="AA308" s="18"/>
      <c r="AB308" s="10"/>
      <c r="AC308" s="29"/>
    </row>
    <row r="309" spans="13:29" x14ac:dyDescent="0.25">
      <c r="M309" s="9"/>
      <c r="N309" s="10"/>
      <c r="O309" s="11"/>
      <c r="P309" s="12"/>
      <c r="Q309" s="27"/>
      <c r="R309" s="14"/>
      <c r="S309" s="28"/>
      <c r="T309" s="15"/>
      <c r="U309" s="16"/>
      <c r="V309" s="17"/>
      <c r="W309" s="17"/>
      <c r="X309" s="11"/>
      <c r="Y309" s="30"/>
      <c r="Z309" s="19"/>
      <c r="AA309" s="18"/>
      <c r="AB309" s="10"/>
      <c r="AC309" s="29"/>
    </row>
    <row r="310" spans="13:29" x14ac:dyDescent="0.25">
      <c r="M310" s="9"/>
      <c r="N310" s="10"/>
      <c r="O310" s="11"/>
      <c r="P310" s="12"/>
      <c r="Q310" s="27"/>
      <c r="R310" s="14"/>
      <c r="S310" s="28"/>
      <c r="T310" s="15"/>
      <c r="U310" s="16"/>
      <c r="V310" s="17"/>
      <c r="W310" s="17"/>
      <c r="X310" s="11"/>
      <c r="Y310" s="30"/>
      <c r="Z310" s="19"/>
      <c r="AA310" s="18"/>
      <c r="AB310" s="20"/>
      <c r="AC310" s="29"/>
    </row>
    <row r="311" spans="13:29" x14ac:dyDescent="0.25">
      <c r="M311" s="9"/>
      <c r="N311" s="10"/>
      <c r="O311" s="11"/>
      <c r="P311" s="12"/>
      <c r="Q311" s="27"/>
      <c r="R311" s="14"/>
      <c r="S311" s="28"/>
      <c r="T311" s="15"/>
      <c r="U311" s="16"/>
      <c r="V311" s="17"/>
      <c r="W311" s="17"/>
      <c r="X311" s="11"/>
      <c r="Y311" s="30"/>
      <c r="Z311" s="19"/>
      <c r="AA311" s="18"/>
      <c r="AB311" s="10"/>
      <c r="AC311" s="29"/>
    </row>
    <row r="312" spans="13:29" x14ac:dyDescent="0.25">
      <c r="M312" s="9"/>
      <c r="N312" s="10"/>
      <c r="O312" s="11"/>
      <c r="P312" s="12"/>
      <c r="Q312" s="27"/>
      <c r="R312" s="14"/>
      <c r="S312" s="28"/>
      <c r="T312" s="15"/>
      <c r="U312" s="16"/>
      <c r="V312" s="17"/>
      <c r="W312" s="17"/>
      <c r="X312" s="11"/>
      <c r="Y312" s="30"/>
      <c r="Z312" s="19"/>
      <c r="AA312" s="18"/>
      <c r="AB312" s="10"/>
      <c r="AC312" s="29"/>
    </row>
    <row r="313" spans="13:29" x14ac:dyDescent="0.25">
      <c r="M313" s="9"/>
      <c r="N313" s="10"/>
      <c r="O313" s="11"/>
      <c r="P313" s="12"/>
      <c r="Q313" s="27"/>
      <c r="R313" s="14"/>
      <c r="S313" s="28"/>
      <c r="T313" s="35"/>
      <c r="U313" s="16"/>
      <c r="V313" s="17"/>
      <c r="W313" s="17"/>
      <c r="X313" s="11"/>
      <c r="Y313" s="30"/>
      <c r="Z313" s="19"/>
      <c r="AA313" s="18"/>
      <c r="AB313" s="20"/>
      <c r="AC313" s="29"/>
    </row>
    <row r="314" spans="13:29" x14ac:dyDescent="0.25">
      <c r="M314" s="9"/>
      <c r="N314" s="10"/>
      <c r="O314" s="11"/>
      <c r="P314" s="12"/>
      <c r="Q314" s="27"/>
      <c r="R314" s="14"/>
      <c r="S314" s="28"/>
      <c r="T314" s="35"/>
      <c r="U314" s="16"/>
      <c r="V314" s="17"/>
      <c r="W314" s="17"/>
      <c r="X314" s="11"/>
      <c r="Y314" s="30"/>
      <c r="Z314" s="19"/>
      <c r="AA314" s="18"/>
      <c r="AB314" s="10"/>
      <c r="AC314" s="29"/>
    </row>
    <row r="315" spans="13:29" x14ac:dyDescent="0.25">
      <c r="M315" s="9"/>
      <c r="N315" s="10"/>
      <c r="O315" s="11"/>
      <c r="P315" s="12"/>
      <c r="Q315" s="27"/>
      <c r="R315" s="14"/>
      <c r="S315" s="28"/>
      <c r="T315" s="35"/>
      <c r="U315" s="16"/>
      <c r="V315" s="17"/>
      <c r="W315" s="17"/>
      <c r="X315" s="11"/>
      <c r="Y315" s="30"/>
      <c r="Z315" s="19"/>
      <c r="AA315" s="18"/>
      <c r="AB315" s="20"/>
      <c r="AC315" s="29"/>
    </row>
    <row r="316" spans="13:29" x14ac:dyDescent="0.25">
      <c r="M316" s="9"/>
      <c r="N316" s="10"/>
      <c r="O316" s="11"/>
      <c r="P316" s="12"/>
      <c r="Q316" s="27"/>
      <c r="R316" s="14"/>
      <c r="S316" s="28"/>
      <c r="T316" s="35"/>
      <c r="U316" s="16"/>
      <c r="V316" s="17"/>
      <c r="W316" s="17"/>
      <c r="X316" s="11"/>
      <c r="Y316" s="30"/>
      <c r="Z316" s="19"/>
      <c r="AA316" s="18"/>
      <c r="AB316" s="10"/>
      <c r="AC316" s="29"/>
    </row>
    <row r="317" spans="13:29" x14ac:dyDescent="0.25">
      <c r="M317" s="9"/>
      <c r="N317" s="10"/>
      <c r="O317" s="11"/>
      <c r="P317" s="12"/>
      <c r="Q317" s="27"/>
      <c r="R317" s="14"/>
      <c r="S317" s="28"/>
      <c r="T317" s="15"/>
      <c r="U317" s="16"/>
      <c r="V317" s="17"/>
      <c r="W317" s="17"/>
      <c r="X317" s="11"/>
      <c r="Y317" s="30"/>
      <c r="Z317" s="19"/>
      <c r="AA317" s="18"/>
      <c r="AB317" s="10"/>
      <c r="AC317" s="29"/>
    </row>
    <row r="318" spans="13:29" x14ac:dyDescent="0.25">
      <c r="M318" s="9"/>
      <c r="N318" s="10"/>
      <c r="O318" s="11"/>
      <c r="P318" s="12"/>
      <c r="Q318" s="27"/>
      <c r="R318" s="14"/>
      <c r="S318" s="28"/>
      <c r="T318" s="15"/>
      <c r="U318" s="16"/>
      <c r="V318" s="17"/>
      <c r="W318" s="17"/>
      <c r="X318" s="11"/>
      <c r="Y318" s="30"/>
      <c r="Z318" s="19"/>
      <c r="AA318" s="18"/>
      <c r="AB318" s="10"/>
      <c r="AC318" s="29"/>
    </row>
    <row r="319" spans="13:29" x14ac:dyDescent="0.25">
      <c r="M319" s="9"/>
      <c r="N319" s="10"/>
      <c r="O319" s="11"/>
      <c r="P319" s="12"/>
      <c r="Q319" s="27"/>
      <c r="R319" s="14"/>
      <c r="S319" s="28"/>
      <c r="T319" s="15"/>
      <c r="U319" s="16"/>
      <c r="V319" s="17"/>
      <c r="W319" s="17"/>
      <c r="X319" s="11"/>
      <c r="Y319" s="30"/>
      <c r="Z319" s="19"/>
      <c r="AA319" s="18"/>
      <c r="AB319" s="20"/>
      <c r="AC319" s="29"/>
    </row>
    <row r="320" spans="13:29" x14ac:dyDescent="0.25">
      <c r="M320" s="9"/>
      <c r="N320" s="10"/>
      <c r="O320" s="11"/>
      <c r="P320" s="12"/>
      <c r="Q320" s="27"/>
      <c r="R320" s="14"/>
      <c r="S320" s="28"/>
      <c r="T320" s="15"/>
      <c r="U320" s="16"/>
      <c r="V320" s="17"/>
      <c r="W320" s="17"/>
      <c r="X320" s="11"/>
      <c r="Y320" s="30"/>
      <c r="Z320" s="19"/>
      <c r="AA320" s="18"/>
      <c r="AB320" s="20"/>
      <c r="AC320" s="29"/>
    </row>
    <row r="321" spans="13:29" x14ac:dyDescent="0.25">
      <c r="M321" s="9"/>
      <c r="N321" s="10"/>
      <c r="O321" s="11"/>
      <c r="P321" s="12"/>
      <c r="Q321" s="27"/>
      <c r="R321" s="14"/>
      <c r="S321" s="28"/>
      <c r="T321" s="15"/>
      <c r="U321" s="16"/>
      <c r="V321" s="17"/>
      <c r="W321" s="17"/>
      <c r="X321" s="11"/>
      <c r="Y321" s="30"/>
      <c r="Z321" s="19"/>
      <c r="AA321" s="18"/>
      <c r="AB321" s="20"/>
      <c r="AC321" s="29"/>
    </row>
    <row r="322" spans="13:29" x14ac:dyDescent="0.25">
      <c r="M322" s="9"/>
      <c r="N322" s="10"/>
      <c r="O322" s="11"/>
      <c r="P322" s="12"/>
      <c r="Q322" s="27"/>
      <c r="R322" s="14"/>
      <c r="S322" s="28"/>
      <c r="T322" s="15"/>
      <c r="U322" s="16"/>
      <c r="V322" s="17"/>
      <c r="W322" s="17"/>
      <c r="X322" s="11"/>
      <c r="Y322" s="30"/>
      <c r="Z322" s="19"/>
      <c r="AA322" s="18"/>
      <c r="AB322" s="20"/>
      <c r="AC322" s="29"/>
    </row>
    <row r="323" spans="13:29" x14ac:dyDescent="0.25">
      <c r="M323" s="9"/>
      <c r="N323" s="10"/>
      <c r="O323" s="11"/>
      <c r="P323" s="12"/>
      <c r="Q323" s="27"/>
      <c r="R323" s="14"/>
      <c r="S323" s="28"/>
      <c r="T323" s="15"/>
      <c r="U323" s="16"/>
      <c r="V323" s="17"/>
      <c r="W323" s="17"/>
      <c r="X323" s="11"/>
      <c r="Y323" s="30"/>
      <c r="Z323" s="19"/>
      <c r="AA323" s="18"/>
      <c r="AB323" s="10"/>
      <c r="AC323" s="29"/>
    </row>
    <row r="324" spans="13:29" x14ac:dyDescent="0.25">
      <c r="M324" s="9"/>
      <c r="N324" s="10"/>
      <c r="O324" s="11"/>
      <c r="P324" s="12"/>
      <c r="Q324" s="27"/>
      <c r="R324" s="14"/>
      <c r="S324" s="28"/>
      <c r="T324" s="15"/>
      <c r="U324" s="16"/>
      <c r="V324" s="17"/>
      <c r="W324" s="17"/>
      <c r="X324" s="11"/>
      <c r="Y324" s="30"/>
      <c r="Z324" s="19"/>
      <c r="AA324" s="18"/>
      <c r="AB324" s="10"/>
      <c r="AC324" s="29"/>
    </row>
    <row r="325" spans="13:29" x14ac:dyDescent="0.25">
      <c r="M325" s="9"/>
      <c r="N325" s="10"/>
      <c r="O325" s="11"/>
      <c r="P325" s="12"/>
      <c r="Q325" s="27"/>
      <c r="R325" s="14"/>
      <c r="S325" s="28"/>
      <c r="T325" s="15"/>
      <c r="U325" s="16"/>
      <c r="V325" s="17"/>
      <c r="W325" s="17"/>
      <c r="X325" s="11"/>
      <c r="Y325" s="30"/>
      <c r="Z325" s="19"/>
      <c r="AA325" s="18"/>
      <c r="AB325" s="20"/>
      <c r="AC325" s="29"/>
    </row>
    <row r="326" spans="13:29" x14ac:dyDescent="0.25">
      <c r="M326" s="9"/>
      <c r="N326" s="10"/>
      <c r="O326" s="11"/>
      <c r="P326" s="12"/>
      <c r="Q326" s="27"/>
      <c r="R326" s="14"/>
      <c r="S326" s="28"/>
      <c r="T326" s="15"/>
      <c r="U326" s="16"/>
      <c r="V326" s="17"/>
      <c r="W326" s="17"/>
      <c r="X326" s="11"/>
      <c r="Y326" s="30"/>
      <c r="Z326" s="19"/>
      <c r="AA326" s="18"/>
      <c r="AB326" s="10"/>
      <c r="AC326" s="29"/>
    </row>
    <row r="327" spans="13:29" x14ac:dyDescent="0.25">
      <c r="M327" s="9"/>
      <c r="N327" s="10"/>
      <c r="O327" s="11"/>
      <c r="P327" s="12"/>
      <c r="Q327" s="27"/>
      <c r="R327" s="14"/>
      <c r="S327" s="28"/>
      <c r="T327" s="15"/>
      <c r="U327" s="16"/>
      <c r="V327" s="17"/>
      <c r="W327" s="17"/>
      <c r="X327" s="11"/>
      <c r="Y327" s="18"/>
      <c r="Z327" s="19"/>
      <c r="AA327" s="18"/>
      <c r="AB327" s="10"/>
      <c r="AC327" s="29"/>
    </row>
    <row r="328" spans="13:29" x14ac:dyDescent="0.25">
      <c r="M328" s="9"/>
      <c r="N328" s="10"/>
      <c r="O328" s="11"/>
      <c r="P328" s="12"/>
      <c r="Q328" s="27"/>
      <c r="R328" s="14"/>
      <c r="S328" s="28"/>
      <c r="T328" s="15"/>
      <c r="U328" s="16"/>
      <c r="V328" s="17"/>
      <c r="W328" s="17"/>
      <c r="X328" s="11"/>
      <c r="Y328" s="18"/>
      <c r="Z328" s="19"/>
      <c r="AA328" s="18"/>
      <c r="AB328" s="10"/>
      <c r="AC328" s="29"/>
    </row>
    <row r="329" spans="13:29" x14ac:dyDescent="0.25">
      <c r="M329" s="9"/>
      <c r="N329" s="10"/>
      <c r="O329" s="11"/>
      <c r="P329" s="12"/>
      <c r="Q329" s="27"/>
      <c r="R329" s="14"/>
      <c r="S329" s="28"/>
      <c r="T329" s="15"/>
      <c r="U329" s="16"/>
      <c r="V329" s="17"/>
      <c r="W329" s="17"/>
      <c r="X329" s="11"/>
      <c r="Y329" s="18"/>
      <c r="Z329" s="19"/>
      <c r="AA329" s="18"/>
      <c r="AB329" s="10"/>
      <c r="AC329" s="29"/>
    </row>
    <row r="330" spans="13:29" x14ac:dyDescent="0.25">
      <c r="M330" s="9"/>
      <c r="N330" s="10"/>
      <c r="O330" s="11"/>
      <c r="P330" s="12"/>
      <c r="Q330" s="27"/>
      <c r="R330" s="14"/>
      <c r="S330" s="28"/>
      <c r="T330" s="15"/>
      <c r="U330" s="16"/>
      <c r="V330" s="17"/>
      <c r="W330" s="17"/>
      <c r="X330" s="11"/>
      <c r="Y330" s="18"/>
      <c r="Z330" s="19"/>
      <c r="AA330" s="18"/>
      <c r="AB330" s="10"/>
      <c r="AC330" s="29"/>
    </row>
    <row r="331" spans="13:29" x14ac:dyDescent="0.25">
      <c r="M331" s="9"/>
      <c r="N331" s="10"/>
      <c r="O331" s="11"/>
      <c r="P331" s="12"/>
      <c r="Q331" s="27"/>
      <c r="R331" s="14"/>
      <c r="S331" s="28"/>
      <c r="T331" s="15"/>
      <c r="U331" s="16"/>
      <c r="V331" s="17"/>
      <c r="W331" s="17"/>
      <c r="X331" s="11"/>
      <c r="Y331" s="18"/>
      <c r="Z331" s="19"/>
      <c r="AA331" s="18"/>
      <c r="AB331" s="10"/>
      <c r="AC331" s="29"/>
    </row>
    <row r="332" spans="13:29" x14ac:dyDescent="0.25">
      <c r="M332" s="9"/>
      <c r="N332" s="10"/>
      <c r="O332" s="11"/>
      <c r="P332" s="12"/>
      <c r="Q332" s="27"/>
      <c r="R332" s="14"/>
      <c r="S332" s="28"/>
      <c r="T332" s="15"/>
      <c r="U332" s="16"/>
      <c r="V332" s="17"/>
      <c r="W332" s="17"/>
      <c r="X332" s="11"/>
      <c r="Y332" s="18"/>
      <c r="Z332" s="19"/>
      <c r="AA332" s="18"/>
      <c r="AB332" s="10"/>
      <c r="AC332" s="29"/>
    </row>
    <row r="333" spans="13:29" x14ac:dyDescent="0.25">
      <c r="M333" s="9"/>
      <c r="N333" s="10"/>
      <c r="O333" s="11"/>
      <c r="P333" s="12"/>
      <c r="Q333" s="27"/>
      <c r="R333" s="14"/>
      <c r="S333" s="28"/>
      <c r="T333" s="15"/>
      <c r="U333" s="16"/>
      <c r="V333" s="17"/>
      <c r="W333" s="17"/>
      <c r="X333" s="11"/>
      <c r="Y333" s="18"/>
      <c r="Z333" s="19"/>
      <c r="AA333" s="18"/>
      <c r="AB333" s="10"/>
      <c r="AC333" s="29"/>
    </row>
    <row r="334" spans="13:29" x14ac:dyDescent="0.25">
      <c r="M334" s="9"/>
      <c r="N334" s="10"/>
      <c r="O334" s="11"/>
      <c r="P334" s="12"/>
      <c r="Q334" s="27"/>
      <c r="R334" s="14"/>
      <c r="S334" s="28"/>
      <c r="T334" s="15"/>
      <c r="U334" s="16"/>
      <c r="V334" s="17"/>
      <c r="W334" s="17"/>
      <c r="X334" s="11"/>
      <c r="Y334" s="18"/>
      <c r="Z334" s="19"/>
      <c r="AA334" s="18"/>
      <c r="AB334" s="10"/>
      <c r="AC334" s="29"/>
    </row>
    <row r="335" spans="13:29" x14ac:dyDescent="0.25">
      <c r="M335" s="9"/>
      <c r="N335" s="10"/>
      <c r="O335" s="11"/>
      <c r="P335" s="12"/>
      <c r="Q335" s="27"/>
      <c r="R335" s="14"/>
      <c r="S335" s="28"/>
      <c r="T335" s="15"/>
      <c r="U335" s="16"/>
      <c r="V335" s="17"/>
      <c r="W335" s="17"/>
      <c r="X335" s="11"/>
      <c r="Y335" s="18"/>
      <c r="Z335" s="19"/>
      <c r="AA335" s="18"/>
      <c r="AB335" s="10"/>
      <c r="AC335" s="29"/>
    </row>
    <row r="336" spans="13:29" x14ac:dyDescent="0.25">
      <c r="M336" s="9"/>
      <c r="N336" s="10"/>
      <c r="O336" s="11"/>
      <c r="P336" s="12"/>
      <c r="Q336" s="27"/>
      <c r="R336" s="14"/>
      <c r="S336" s="28"/>
      <c r="T336" s="15"/>
      <c r="U336" s="16"/>
      <c r="V336" s="17"/>
      <c r="W336" s="17"/>
      <c r="X336" s="11"/>
      <c r="Y336" s="18"/>
      <c r="Z336" s="19"/>
      <c r="AA336" s="18"/>
      <c r="AB336" s="10"/>
      <c r="AC336" s="29"/>
    </row>
    <row r="337" spans="13:29" x14ac:dyDescent="0.25">
      <c r="M337" s="9"/>
      <c r="N337" s="10"/>
      <c r="O337" s="11"/>
      <c r="P337" s="12"/>
      <c r="Q337" s="27"/>
      <c r="R337" s="14"/>
      <c r="S337" s="28"/>
      <c r="T337" s="15"/>
      <c r="U337" s="16"/>
      <c r="V337" s="17"/>
      <c r="W337" s="17"/>
      <c r="X337" s="11"/>
      <c r="Y337" s="30"/>
      <c r="Z337" s="19"/>
      <c r="AA337" s="18"/>
      <c r="AB337" s="10"/>
      <c r="AC337" s="29"/>
    </row>
    <row r="338" spans="13:29" x14ac:dyDescent="0.25">
      <c r="M338" s="9"/>
      <c r="N338" s="10"/>
      <c r="O338" s="11"/>
      <c r="P338" s="12"/>
      <c r="Q338" s="27"/>
      <c r="R338" s="14"/>
      <c r="S338" s="28"/>
      <c r="T338" s="15"/>
      <c r="U338" s="16"/>
      <c r="V338" s="17"/>
      <c r="W338" s="17"/>
      <c r="X338" s="11"/>
      <c r="Y338" s="30"/>
      <c r="Z338" s="19"/>
      <c r="AA338" s="18"/>
      <c r="AB338" s="20"/>
      <c r="AC338" s="29"/>
    </row>
    <row r="339" spans="13:29" x14ac:dyDescent="0.25">
      <c r="M339" s="9"/>
      <c r="N339" s="10"/>
      <c r="O339" s="11"/>
      <c r="P339" s="12"/>
      <c r="Q339" s="27"/>
      <c r="R339" s="14"/>
      <c r="S339" s="28"/>
      <c r="T339" s="15"/>
      <c r="U339" s="16"/>
      <c r="V339" s="17"/>
      <c r="W339" s="17"/>
      <c r="X339" s="11"/>
      <c r="Y339" s="30"/>
      <c r="Z339" s="19"/>
      <c r="AA339" s="18"/>
      <c r="AB339" s="10"/>
      <c r="AC339" s="29"/>
    </row>
    <row r="340" spans="13:29" x14ac:dyDescent="0.25">
      <c r="M340" s="9"/>
      <c r="N340" s="10"/>
      <c r="O340" s="11"/>
      <c r="P340" s="12"/>
      <c r="Q340" s="27"/>
      <c r="R340" s="14"/>
      <c r="S340" s="28"/>
      <c r="T340" s="15"/>
      <c r="U340" s="16"/>
      <c r="V340" s="17"/>
      <c r="W340" s="17"/>
      <c r="X340" s="11"/>
      <c r="Y340" s="30"/>
      <c r="Z340" s="19"/>
      <c r="AA340" s="18"/>
      <c r="AB340" s="20"/>
      <c r="AC340" s="29"/>
    </row>
    <row r="341" spans="13:29" x14ac:dyDescent="0.25">
      <c r="M341" s="9"/>
      <c r="N341" s="10"/>
      <c r="O341" s="11"/>
      <c r="P341" s="12"/>
      <c r="Q341" s="27"/>
      <c r="R341" s="14"/>
      <c r="S341" s="28"/>
      <c r="T341" s="15"/>
      <c r="U341" s="16"/>
      <c r="V341" s="17"/>
      <c r="W341" s="17"/>
      <c r="X341" s="11"/>
      <c r="Y341" s="30"/>
      <c r="Z341" s="19"/>
      <c r="AA341" s="18"/>
      <c r="AB341" s="20"/>
      <c r="AC341" s="29"/>
    </row>
    <row r="342" spans="13:29" x14ac:dyDescent="0.25">
      <c r="M342" s="9"/>
      <c r="N342" s="10"/>
      <c r="O342" s="11"/>
      <c r="P342" s="12"/>
      <c r="Q342" s="27"/>
      <c r="R342" s="14"/>
      <c r="S342" s="28"/>
      <c r="T342" s="15"/>
      <c r="U342" s="16"/>
      <c r="V342" s="17"/>
      <c r="W342" s="17"/>
      <c r="X342" s="11"/>
      <c r="Y342" s="30"/>
      <c r="Z342" s="19"/>
      <c r="AA342" s="18"/>
      <c r="AB342" s="20"/>
      <c r="AC342" s="29"/>
    </row>
    <row r="343" spans="13:29" x14ac:dyDescent="0.25">
      <c r="M343" s="9"/>
      <c r="N343" s="10"/>
      <c r="O343" s="11"/>
      <c r="P343" s="12"/>
      <c r="Q343" s="27"/>
      <c r="R343" s="14"/>
      <c r="S343" s="28"/>
      <c r="T343" s="15"/>
      <c r="U343" s="16"/>
      <c r="V343" s="17"/>
      <c r="W343" s="17"/>
      <c r="X343" s="11"/>
      <c r="Y343" s="30"/>
      <c r="Z343" s="19"/>
      <c r="AA343" s="18"/>
      <c r="AB343" s="20"/>
      <c r="AC343" s="29"/>
    </row>
    <row r="344" spans="13:29" x14ac:dyDescent="0.25">
      <c r="M344" s="9"/>
      <c r="N344" s="10"/>
      <c r="O344" s="11"/>
      <c r="P344" s="12"/>
      <c r="Q344" s="27"/>
      <c r="R344" s="14"/>
      <c r="S344" s="28"/>
      <c r="T344" s="15"/>
      <c r="U344" s="16"/>
      <c r="V344" s="17"/>
      <c r="W344" s="17"/>
      <c r="X344" s="11"/>
      <c r="Y344" s="30"/>
      <c r="Z344" s="19"/>
      <c r="AA344" s="18"/>
      <c r="AB344" s="20"/>
      <c r="AC344" s="29"/>
    </row>
    <row r="345" spans="13:29" x14ac:dyDescent="0.25">
      <c r="M345" s="9"/>
      <c r="N345" s="10"/>
      <c r="O345" s="11"/>
      <c r="P345" s="12"/>
      <c r="Q345" s="27"/>
      <c r="R345" s="14"/>
      <c r="S345" s="28"/>
      <c r="T345" s="15"/>
      <c r="U345" s="16"/>
      <c r="V345" s="17"/>
      <c r="W345" s="17"/>
      <c r="X345" s="11"/>
      <c r="Y345" s="30"/>
      <c r="Z345" s="19"/>
      <c r="AA345" s="18"/>
      <c r="AB345" s="20"/>
      <c r="AC345" s="29"/>
    </row>
    <row r="346" spans="13:29" x14ac:dyDescent="0.25">
      <c r="M346" s="9"/>
      <c r="N346" s="10"/>
      <c r="O346" s="11"/>
      <c r="P346" s="12"/>
      <c r="Q346" s="27"/>
      <c r="R346" s="14"/>
      <c r="S346" s="28"/>
      <c r="T346" s="15"/>
      <c r="U346" s="16"/>
      <c r="V346" s="17"/>
      <c r="W346" s="17"/>
      <c r="X346" s="11"/>
      <c r="Y346" s="30"/>
      <c r="Z346" s="19"/>
      <c r="AA346" s="18"/>
      <c r="AB346" s="20"/>
      <c r="AC346" s="29"/>
    </row>
    <row r="347" spans="13:29" x14ac:dyDescent="0.25">
      <c r="M347" s="9"/>
      <c r="N347" s="10"/>
      <c r="O347" s="11"/>
      <c r="P347" s="12"/>
      <c r="Q347" s="27"/>
      <c r="R347" s="14"/>
      <c r="S347" s="28"/>
      <c r="T347" s="15"/>
      <c r="U347" s="16"/>
      <c r="V347" s="17"/>
      <c r="W347" s="17"/>
      <c r="X347" s="11"/>
      <c r="Y347" s="30"/>
      <c r="Z347" s="19"/>
      <c r="AA347" s="18"/>
      <c r="AB347" s="20"/>
      <c r="AC347" s="29"/>
    </row>
    <row r="348" spans="13:29" x14ac:dyDescent="0.25">
      <c r="M348" s="9"/>
      <c r="N348" s="10"/>
      <c r="O348" s="11"/>
      <c r="P348" s="12"/>
      <c r="Q348" s="27"/>
      <c r="R348" s="14"/>
      <c r="S348" s="28"/>
      <c r="T348" s="15"/>
      <c r="U348" s="16"/>
      <c r="V348" s="17"/>
      <c r="W348" s="17"/>
      <c r="X348" s="11"/>
      <c r="Y348" s="30"/>
      <c r="Z348" s="19"/>
      <c r="AA348" s="18"/>
      <c r="AB348" s="20"/>
      <c r="AC348" s="29"/>
    </row>
    <row r="349" spans="13:29" x14ac:dyDescent="0.25">
      <c r="M349" s="9"/>
      <c r="N349" s="10"/>
      <c r="O349" s="11"/>
      <c r="P349" s="12"/>
      <c r="Q349" s="27"/>
      <c r="R349" s="14"/>
      <c r="S349" s="28"/>
      <c r="T349" s="15"/>
      <c r="U349" s="16"/>
      <c r="V349" s="17"/>
      <c r="W349" s="17"/>
      <c r="X349" s="11"/>
      <c r="Y349" s="30"/>
      <c r="Z349" s="19"/>
      <c r="AA349" s="18"/>
      <c r="AB349" s="20"/>
      <c r="AC349" s="29"/>
    </row>
    <row r="350" spans="13:29" x14ac:dyDescent="0.25">
      <c r="M350" s="9"/>
      <c r="N350" s="10"/>
      <c r="O350" s="11"/>
      <c r="P350" s="12"/>
      <c r="Q350" s="27"/>
      <c r="R350" s="14"/>
      <c r="S350" s="28"/>
      <c r="T350" s="15"/>
      <c r="U350" s="16"/>
      <c r="V350" s="17"/>
      <c r="W350" s="17"/>
      <c r="X350" s="11"/>
      <c r="Y350" s="30"/>
      <c r="Z350" s="19"/>
      <c r="AA350" s="18"/>
      <c r="AB350" s="20"/>
      <c r="AC350" s="29"/>
    </row>
    <row r="351" spans="13:29" x14ac:dyDescent="0.25">
      <c r="M351" s="9"/>
      <c r="N351" s="10"/>
      <c r="O351" s="11"/>
      <c r="P351" s="12"/>
      <c r="Q351" s="27"/>
      <c r="R351" s="14"/>
      <c r="S351" s="28"/>
      <c r="T351" s="15"/>
      <c r="U351" s="16"/>
      <c r="V351" s="17"/>
      <c r="W351" s="17"/>
      <c r="X351" s="11"/>
      <c r="Y351" s="30"/>
      <c r="Z351" s="19"/>
      <c r="AA351" s="18"/>
      <c r="AB351" s="20"/>
      <c r="AC351" s="29"/>
    </row>
    <row r="352" spans="13:29" x14ac:dyDescent="0.25">
      <c r="M352" s="9"/>
      <c r="N352" s="10"/>
      <c r="O352" s="11"/>
      <c r="P352" s="12"/>
      <c r="Q352" s="27"/>
      <c r="R352" s="14"/>
      <c r="S352" s="28"/>
      <c r="T352" s="15"/>
      <c r="U352" s="16"/>
      <c r="V352" s="17"/>
      <c r="W352" s="17"/>
      <c r="X352" s="11"/>
      <c r="Y352" s="30"/>
      <c r="Z352" s="19"/>
      <c r="AA352" s="18"/>
      <c r="AB352" s="20"/>
      <c r="AC352" s="29"/>
    </row>
    <row r="353" spans="13:29" x14ac:dyDescent="0.25">
      <c r="M353" s="9"/>
      <c r="N353" s="10"/>
      <c r="O353" s="11"/>
      <c r="P353" s="12"/>
      <c r="Q353" s="27"/>
      <c r="R353" s="14"/>
      <c r="S353" s="28"/>
      <c r="T353" s="15"/>
      <c r="U353" s="16"/>
      <c r="V353" s="17"/>
      <c r="W353" s="17"/>
      <c r="X353" s="11"/>
      <c r="Y353" s="30"/>
      <c r="Z353" s="19"/>
      <c r="AA353" s="18"/>
      <c r="AB353" s="20"/>
      <c r="AC353" s="29"/>
    </row>
    <row r="354" spans="13:29" x14ac:dyDescent="0.25">
      <c r="M354" s="9"/>
      <c r="N354" s="10"/>
      <c r="O354" s="11"/>
      <c r="P354" s="12"/>
      <c r="Q354" s="27"/>
      <c r="R354" s="14"/>
      <c r="S354" s="28"/>
      <c r="T354" s="15"/>
      <c r="U354" s="16"/>
      <c r="V354" s="17"/>
      <c r="W354" s="17"/>
      <c r="X354" s="11"/>
      <c r="Y354" s="30"/>
      <c r="Z354" s="19"/>
      <c r="AA354" s="18"/>
      <c r="AB354" s="20"/>
      <c r="AC354" s="29"/>
    </row>
    <row r="355" spans="13:29" x14ac:dyDescent="0.25">
      <c r="M355" s="9"/>
      <c r="N355" s="10"/>
      <c r="O355" s="11"/>
      <c r="P355" s="12"/>
      <c r="Q355" s="27"/>
      <c r="R355" s="14"/>
      <c r="S355" s="28"/>
      <c r="T355" s="15"/>
      <c r="U355" s="16"/>
      <c r="V355" s="17"/>
      <c r="W355" s="17"/>
      <c r="X355" s="11"/>
      <c r="Y355" s="30"/>
      <c r="Z355" s="19"/>
      <c r="AA355" s="18"/>
      <c r="AB355" s="20"/>
      <c r="AC355" s="29"/>
    </row>
    <row r="356" spans="13:29" x14ac:dyDescent="0.25">
      <c r="M356" s="9"/>
      <c r="N356" s="10"/>
      <c r="O356" s="11"/>
      <c r="P356" s="12"/>
      <c r="Q356" s="27"/>
      <c r="R356" s="14"/>
      <c r="S356" s="28"/>
      <c r="T356" s="15"/>
      <c r="U356" s="16"/>
      <c r="V356" s="17"/>
      <c r="W356" s="17"/>
      <c r="X356" s="11"/>
      <c r="Y356" s="30"/>
      <c r="Z356" s="19"/>
      <c r="AA356" s="18"/>
      <c r="AB356" s="20"/>
      <c r="AC356" s="29"/>
    </row>
    <row r="357" spans="13:29" x14ac:dyDescent="0.25">
      <c r="M357" s="9"/>
      <c r="N357" s="10"/>
      <c r="O357" s="11"/>
      <c r="P357" s="12"/>
      <c r="Q357" s="27"/>
      <c r="R357" s="14"/>
      <c r="S357" s="28"/>
      <c r="T357" s="15"/>
      <c r="U357" s="16"/>
      <c r="V357" s="17"/>
      <c r="W357" s="17"/>
      <c r="X357" s="11"/>
      <c r="Y357" s="30"/>
      <c r="Z357" s="19"/>
      <c r="AA357" s="18"/>
      <c r="AB357" s="20"/>
      <c r="AC357" s="29"/>
    </row>
    <row r="358" spans="13:29" x14ac:dyDescent="0.25">
      <c r="M358" s="9"/>
      <c r="N358" s="10"/>
      <c r="O358" s="11"/>
      <c r="P358" s="12"/>
      <c r="Q358" s="27"/>
      <c r="R358" s="14"/>
      <c r="S358" s="28"/>
      <c r="T358" s="15"/>
      <c r="U358" s="16"/>
      <c r="V358" s="17"/>
      <c r="W358" s="17"/>
      <c r="X358" s="11"/>
      <c r="Y358" s="30"/>
      <c r="Z358" s="19"/>
      <c r="AA358" s="18"/>
      <c r="AB358" s="20"/>
      <c r="AC358" s="29"/>
    </row>
    <row r="359" spans="13:29" x14ac:dyDescent="0.25">
      <c r="M359" s="9"/>
      <c r="N359" s="10"/>
      <c r="O359" s="11"/>
      <c r="P359" s="12"/>
      <c r="Q359" s="27"/>
      <c r="R359" s="14"/>
      <c r="S359" s="28"/>
      <c r="T359" s="15"/>
      <c r="U359" s="16"/>
      <c r="V359" s="17"/>
      <c r="W359" s="17"/>
      <c r="X359" s="11"/>
      <c r="Y359" s="30"/>
      <c r="Z359" s="19"/>
      <c r="AA359" s="18"/>
      <c r="AB359" s="20"/>
      <c r="AC359" s="29"/>
    </row>
    <row r="360" spans="13:29" x14ac:dyDescent="0.25">
      <c r="M360" s="9"/>
      <c r="N360" s="10"/>
      <c r="O360" s="11"/>
      <c r="P360" s="12"/>
      <c r="Q360" s="27"/>
      <c r="R360" s="14"/>
      <c r="S360" s="28"/>
      <c r="T360" s="15"/>
      <c r="U360" s="16"/>
      <c r="V360" s="17"/>
      <c r="W360" s="17"/>
      <c r="X360" s="11"/>
      <c r="Y360" s="30"/>
      <c r="Z360" s="19"/>
      <c r="AA360" s="18"/>
      <c r="AB360" s="20"/>
      <c r="AC360" s="29"/>
    </row>
    <row r="361" spans="13:29" x14ac:dyDescent="0.25">
      <c r="M361" s="9"/>
      <c r="N361" s="10"/>
      <c r="O361" s="11"/>
      <c r="P361" s="12"/>
      <c r="Q361" s="27"/>
      <c r="R361" s="14"/>
      <c r="S361" s="28"/>
      <c r="T361" s="15"/>
      <c r="U361" s="16"/>
      <c r="V361" s="17"/>
      <c r="W361" s="17"/>
      <c r="X361" s="11"/>
      <c r="Y361" s="30"/>
      <c r="Z361" s="19"/>
      <c r="AA361" s="18"/>
      <c r="AB361" s="20"/>
      <c r="AC361" s="29"/>
    </row>
    <row r="362" spans="13:29" x14ac:dyDescent="0.25">
      <c r="M362" s="9"/>
      <c r="N362" s="10"/>
      <c r="O362" s="11"/>
      <c r="P362" s="12"/>
      <c r="Q362" s="27"/>
      <c r="R362" s="14"/>
      <c r="S362" s="28"/>
      <c r="T362" s="15"/>
      <c r="U362" s="16"/>
      <c r="V362" s="17"/>
      <c r="W362" s="17"/>
      <c r="X362" s="11"/>
      <c r="Y362" s="30"/>
      <c r="Z362" s="19"/>
      <c r="AA362" s="18"/>
      <c r="AB362" s="20"/>
      <c r="AC362" s="29"/>
    </row>
    <row r="363" spans="13:29" x14ac:dyDescent="0.25">
      <c r="M363" s="9"/>
      <c r="N363" s="10"/>
      <c r="O363" s="11"/>
      <c r="P363" s="12"/>
      <c r="Q363" s="27"/>
      <c r="R363" s="14"/>
      <c r="S363" s="28"/>
      <c r="T363" s="15"/>
      <c r="U363" s="16"/>
      <c r="V363" s="17"/>
      <c r="W363" s="17"/>
      <c r="X363" s="11"/>
      <c r="Y363" s="30"/>
      <c r="Z363" s="19"/>
      <c r="AA363" s="18"/>
      <c r="AB363" s="20"/>
      <c r="AC363" s="29"/>
    </row>
    <row r="364" spans="13:29" x14ac:dyDescent="0.25">
      <c r="M364" s="9"/>
      <c r="N364" s="10"/>
      <c r="O364" s="11"/>
      <c r="P364" s="12"/>
      <c r="Q364" s="27"/>
      <c r="R364" s="14"/>
      <c r="S364" s="28"/>
      <c r="T364" s="15"/>
      <c r="U364" s="16"/>
      <c r="V364" s="17"/>
      <c r="W364" s="17"/>
      <c r="X364" s="11"/>
      <c r="Y364" s="30"/>
      <c r="Z364" s="19"/>
      <c r="AA364" s="18"/>
      <c r="AB364" s="20"/>
      <c r="AC364" s="29"/>
    </row>
    <row r="365" spans="13:29" x14ac:dyDescent="0.25">
      <c r="M365" s="9"/>
      <c r="N365" s="10"/>
      <c r="O365" s="11"/>
      <c r="P365" s="12"/>
      <c r="Q365" s="27"/>
      <c r="R365" s="14"/>
      <c r="S365" s="28"/>
      <c r="T365" s="15"/>
      <c r="U365" s="16"/>
      <c r="V365" s="17"/>
      <c r="W365" s="17"/>
      <c r="X365" s="11"/>
      <c r="Y365" s="30"/>
      <c r="Z365" s="19"/>
      <c r="AA365" s="18"/>
      <c r="AB365" s="20"/>
      <c r="AC365" s="29"/>
    </row>
    <row r="366" spans="13:29" x14ac:dyDescent="0.25">
      <c r="M366" s="9"/>
      <c r="N366" s="10"/>
      <c r="O366" s="11"/>
      <c r="P366" s="12"/>
      <c r="Q366" s="27"/>
      <c r="R366" s="14"/>
      <c r="S366" s="28"/>
      <c r="T366" s="15"/>
      <c r="U366" s="16"/>
      <c r="V366" s="17"/>
      <c r="W366" s="17"/>
      <c r="X366" s="11"/>
      <c r="Y366" s="30"/>
      <c r="Z366" s="19"/>
      <c r="AA366" s="18"/>
      <c r="AB366" s="20"/>
      <c r="AC366" s="29"/>
    </row>
    <row r="367" spans="13:29" x14ac:dyDescent="0.25">
      <c r="M367" s="9"/>
      <c r="N367" s="10"/>
      <c r="O367" s="11"/>
      <c r="P367" s="12"/>
      <c r="Q367" s="27"/>
      <c r="R367" s="14"/>
      <c r="S367" s="28"/>
      <c r="T367" s="15"/>
      <c r="U367" s="16"/>
      <c r="V367" s="17"/>
      <c r="W367" s="17"/>
      <c r="X367" s="11"/>
      <c r="Y367" s="30"/>
      <c r="Z367" s="19"/>
      <c r="AA367" s="18"/>
      <c r="AB367" s="20"/>
      <c r="AC367" s="29"/>
    </row>
    <row r="368" spans="13:29" x14ac:dyDescent="0.25">
      <c r="M368" s="9"/>
      <c r="N368" s="10"/>
      <c r="O368" s="11"/>
      <c r="P368" s="12"/>
      <c r="Q368" s="27"/>
      <c r="R368" s="14"/>
      <c r="S368" s="28"/>
      <c r="T368" s="15"/>
      <c r="U368" s="16"/>
      <c r="V368" s="17"/>
      <c r="W368" s="17"/>
      <c r="X368" s="11"/>
      <c r="Y368" s="30"/>
      <c r="Z368" s="19"/>
      <c r="AA368" s="18"/>
      <c r="AB368" s="20"/>
      <c r="AC368" s="29"/>
    </row>
    <row r="369" spans="13:29" x14ac:dyDescent="0.25">
      <c r="M369" s="9"/>
      <c r="N369" s="10"/>
      <c r="O369" s="11"/>
      <c r="P369" s="12"/>
      <c r="Q369" s="27"/>
      <c r="R369" s="14"/>
      <c r="S369" s="28"/>
      <c r="T369" s="15"/>
      <c r="U369" s="16"/>
      <c r="V369" s="17"/>
      <c r="W369" s="17"/>
      <c r="X369" s="11"/>
      <c r="Y369" s="30"/>
      <c r="Z369" s="19"/>
      <c r="AA369" s="18"/>
      <c r="AB369" s="20"/>
      <c r="AC369" s="29"/>
    </row>
    <row r="370" spans="13:29" x14ac:dyDescent="0.25">
      <c r="M370" s="9"/>
      <c r="N370" s="10"/>
      <c r="O370" s="11"/>
      <c r="P370" s="12"/>
      <c r="Q370" s="27"/>
      <c r="R370" s="14"/>
      <c r="S370" s="28"/>
      <c r="T370" s="15"/>
      <c r="U370" s="16"/>
      <c r="V370" s="17"/>
      <c r="W370" s="17"/>
      <c r="X370" s="11"/>
      <c r="Y370" s="30"/>
      <c r="Z370" s="19"/>
      <c r="AA370" s="18"/>
      <c r="AB370" s="20"/>
      <c r="AC370" s="29"/>
    </row>
    <row r="371" spans="13:29" x14ac:dyDescent="0.25">
      <c r="M371" s="9"/>
      <c r="N371" s="10"/>
      <c r="O371" s="11"/>
      <c r="P371" s="12"/>
      <c r="Q371" s="27"/>
      <c r="R371" s="14"/>
      <c r="S371" s="28"/>
      <c r="T371" s="15"/>
      <c r="U371" s="16"/>
      <c r="V371" s="17"/>
      <c r="W371" s="17"/>
      <c r="X371" s="11"/>
      <c r="Y371" s="30"/>
      <c r="Z371" s="19"/>
      <c r="AA371" s="18"/>
      <c r="AB371" s="20"/>
      <c r="AC371" s="29"/>
    </row>
    <row r="372" spans="13:29" x14ac:dyDescent="0.25">
      <c r="M372" s="9"/>
      <c r="N372" s="10"/>
      <c r="O372" s="11"/>
      <c r="P372" s="12"/>
      <c r="Q372" s="27"/>
      <c r="R372" s="14"/>
      <c r="S372" s="28"/>
      <c r="T372" s="15"/>
      <c r="U372" s="16"/>
      <c r="V372" s="17"/>
      <c r="W372" s="17"/>
      <c r="X372" s="11"/>
      <c r="Y372" s="30"/>
      <c r="Z372" s="19"/>
      <c r="AA372" s="18"/>
      <c r="AB372" s="20"/>
      <c r="AC372" s="29"/>
    </row>
    <row r="373" spans="13:29" x14ac:dyDescent="0.25">
      <c r="M373" s="9"/>
      <c r="N373" s="10"/>
      <c r="O373" s="11"/>
      <c r="P373" s="12"/>
      <c r="Q373" s="27"/>
      <c r="R373" s="14"/>
      <c r="S373" s="28"/>
      <c r="T373" s="15"/>
      <c r="U373" s="16"/>
      <c r="V373" s="17"/>
      <c r="W373" s="17"/>
      <c r="X373" s="11"/>
      <c r="Y373" s="30"/>
      <c r="Z373" s="19"/>
      <c r="AA373" s="18"/>
      <c r="AB373" s="20"/>
      <c r="AC373" s="29"/>
    </row>
    <row r="374" spans="13:29" x14ac:dyDescent="0.25">
      <c r="M374" s="9"/>
      <c r="N374" s="10"/>
      <c r="O374" s="11"/>
      <c r="P374" s="12"/>
      <c r="Q374" s="27"/>
      <c r="R374" s="14"/>
      <c r="S374" s="28"/>
      <c r="T374" s="15"/>
      <c r="U374" s="16"/>
      <c r="V374" s="17"/>
      <c r="W374" s="17"/>
      <c r="X374" s="11"/>
      <c r="Y374" s="30"/>
      <c r="Z374" s="19"/>
      <c r="AA374" s="18"/>
      <c r="AB374" s="20"/>
      <c r="AC374" s="29"/>
    </row>
    <row r="375" spans="13:29" x14ac:dyDescent="0.25">
      <c r="M375" s="9"/>
      <c r="N375" s="10"/>
      <c r="O375" s="11"/>
      <c r="P375" s="12"/>
      <c r="Q375" s="27"/>
      <c r="R375" s="14"/>
      <c r="S375" s="28"/>
      <c r="T375" s="15"/>
      <c r="U375" s="16"/>
      <c r="V375" s="17"/>
      <c r="W375" s="17"/>
      <c r="X375" s="11"/>
      <c r="Y375" s="30"/>
      <c r="Z375" s="19"/>
      <c r="AA375" s="18"/>
      <c r="AB375" s="20"/>
      <c r="AC375" s="29"/>
    </row>
    <row r="376" spans="13:29" x14ac:dyDescent="0.25">
      <c r="M376" s="9"/>
      <c r="N376" s="10"/>
      <c r="O376" s="11"/>
      <c r="P376" s="12"/>
      <c r="Q376" s="27"/>
      <c r="R376" s="14"/>
      <c r="S376" s="28"/>
      <c r="T376" s="15"/>
      <c r="U376" s="16"/>
      <c r="V376" s="17"/>
      <c r="W376" s="17"/>
      <c r="X376" s="11"/>
      <c r="Y376" s="30"/>
      <c r="Z376" s="19"/>
      <c r="AA376" s="18"/>
      <c r="AB376" s="20"/>
      <c r="AC376" s="29"/>
    </row>
    <row r="377" spans="13:29" x14ac:dyDescent="0.25">
      <c r="M377" s="9"/>
      <c r="N377" s="10"/>
      <c r="O377" s="11"/>
      <c r="P377" s="12"/>
      <c r="Q377" s="27"/>
      <c r="R377" s="14"/>
      <c r="S377" s="28"/>
      <c r="T377" s="15"/>
      <c r="U377" s="16"/>
      <c r="V377" s="17"/>
      <c r="W377" s="17"/>
      <c r="X377" s="11"/>
      <c r="Y377" s="30"/>
      <c r="Z377" s="19"/>
      <c r="AA377" s="18"/>
      <c r="AB377" s="20"/>
      <c r="AC377" s="29"/>
    </row>
    <row r="378" spans="13:29" x14ac:dyDescent="0.25">
      <c r="M378" s="9"/>
      <c r="N378" s="10"/>
      <c r="O378" s="11"/>
      <c r="P378" s="12"/>
      <c r="Q378" s="27"/>
      <c r="R378" s="14"/>
      <c r="S378" s="28"/>
      <c r="T378" s="15"/>
      <c r="U378" s="16"/>
      <c r="V378" s="17"/>
      <c r="W378" s="17"/>
      <c r="X378" s="11"/>
      <c r="Y378" s="30"/>
      <c r="Z378" s="19"/>
      <c r="AA378" s="18"/>
      <c r="AB378" s="20"/>
      <c r="AC378" s="29"/>
    </row>
    <row r="379" spans="13:29" x14ac:dyDescent="0.25">
      <c r="M379" s="9"/>
      <c r="N379" s="10"/>
      <c r="O379" s="11"/>
      <c r="P379" s="12"/>
      <c r="Q379" s="27"/>
      <c r="R379" s="14"/>
      <c r="S379" s="28"/>
      <c r="T379" s="15"/>
      <c r="U379" s="16"/>
      <c r="V379" s="17"/>
      <c r="W379" s="17"/>
      <c r="X379" s="11"/>
      <c r="Y379" s="30"/>
      <c r="Z379" s="19"/>
      <c r="AA379" s="18"/>
      <c r="AB379" s="20"/>
      <c r="AC379" s="29"/>
    </row>
    <row r="380" spans="13:29" x14ac:dyDescent="0.25">
      <c r="M380" s="9"/>
      <c r="N380" s="10"/>
      <c r="O380" s="11"/>
      <c r="P380" s="12"/>
      <c r="Q380" s="27"/>
      <c r="R380" s="14"/>
      <c r="S380" s="28"/>
      <c r="T380" s="15"/>
      <c r="U380" s="16"/>
      <c r="V380" s="17"/>
      <c r="W380" s="17"/>
      <c r="X380" s="11"/>
      <c r="Y380" s="30"/>
      <c r="Z380" s="19"/>
      <c r="AA380" s="18"/>
      <c r="AB380" s="20"/>
      <c r="AC380" s="29"/>
    </row>
    <row r="381" spans="13:29" x14ac:dyDescent="0.25">
      <c r="M381" s="9"/>
      <c r="N381" s="10"/>
      <c r="O381" s="11"/>
      <c r="P381" s="12"/>
      <c r="Q381" s="27"/>
      <c r="R381" s="14"/>
      <c r="S381" s="28"/>
      <c r="T381" s="15"/>
      <c r="U381" s="16"/>
      <c r="V381" s="17"/>
      <c r="W381" s="17"/>
      <c r="X381" s="11"/>
      <c r="Y381" s="30"/>
      <c r="Z381" s="19"/>
      <c r="AA381" s="18"/>
      <c r="AB381" s="20"/>
      <c r="AC381" s="29"/>
    </row>
    <row r="382" spans="13:29" x14ac:dyDescent="0.25">
      <c r="M382" s="9"/>
      <c r="N382" s="10"/>
      <c r="O382" s="11"/>
      <c r="P382" s="12"/>
      <c r="Q382" s="27"/>
      <c r="R382" s="14"/>
      <c r="S382" s="28"/>
      <c r="T382" s="15"/>
      <c r="U382" s="16"/>
      <c r="V382" s="17"/>
      <c r="W382" s="17"/>
      <c r="X382" s="11"/>
      <c r="Y382" s="30"/>
      <c r="Z382" s="19"/>
      <c r="AA382" s="18"/>
      <c r="AB382" s="20"/>
      <c r="AC382" s="29"/>
    </row>
    <row r="383" spans="13:29" x14ac:dyDescent="0.25">
      <c r="M383" s="9"/>
      <c r="N383" s="10"/>
      <c r="O383" s="11"/>
      <c r="P383" s="12"/>
      <c r="Q383" s="27"/>
      <c r="R383" s="14"/>
      <c r="S383" s="28"/>
      <c r="T383" s="15"/>
      <c r="U383" s="16"/>
      <c r="V383" s="17"/>
      <c r="W383" s="17"/>
      <c r="X383" s="11"/>
      <c r="Y383" s="30"/>
      <c r="Z383" s="19"/>
      <c r="AA383" s="18"/>
      <c r="AB383" s="20"/>
      <c r="AC383" s="29"/>
    </row>
    <row r="384" spans="13:29" x14ac:dyDescent="0.25">
      <c r="M384" s="9"/>
      <c r="N384" s="10"/>
      <c r="O384" s="11"/>
      <c r="P384" s="12"/>
      <c r="Q384" s="27"/>
      <c r="R384" s="14"/>
      <c r="S384" s="28"/>
      <c r="T384" s="15"/>
      <c r="U384" s="16"/>
      <c r="V384" s="17"/>
      <c r="W384" s="17"/>
      <c r="X384" s="11"/>
      <c r="Y384" s="30"/>
      <c r="Z384" s="19"/>
      <c r="AA384" s="18"/>
      <c r="AB384" s="20"/>
      <c r="AC384" s="29"/>
    </row>
    <row r="385" spans="13:29" x14ac:dyDescent="0.25">
      <c r="M385" s="9"/>
      <c r="N385" s="10"/>
      <c r="O385" s="11"/>
      <c r="P385" s="12"/>
      <c r="Q385" s="27"/>
      <c r="R385" s="14"/>
      <c r="S385" s="28"/>
      <c r="T385" s="15"/>
      <c r="U385" s="16"/>
      <c r="V385" s="17"/>
      <c r="W385" s="17"/>
      <c r="X385" s="11"/>
      <c r="Y385" s="30"/>
      <c r="Z385" s="19"/>
      <c r="AA385" s="18"/>
      <c r="AB385" s="20"/>
      <c r="AC385" s="29"/>
    </row>
    <row r="386" spans="13:29" x14ac:dyDescent="0.25">
      <c r="M386" s="9"/>
      <c r="N386" s="10"/>
      <c r="O386" s="11"/>
      <c r="P386" s="12"/>
      <c r="Q386" s="27"/>
      <c r="R386" s="14"/>
      <c r="S386" s="36"/>
      <c r="T386" s="15"/>
      <c r="U386" s="16"/>
      <c r="V386" s="17"/>
      <c r="W386" s="17"/>
      <c r="X386" s="11"/>
      <c r="Y386" s="30"/>
      <c r="Z386" s="19"/>
      <c r="AA386" s="18"/>
      <c r="AB386" s="20"/>
      <c r="AC386" s="29"/>
    </row>
    <row r="387" spans="13:29" x14ac:dyDescent="0.25">
      <c r="M387" s="9"/>
      <c r="N387" s="10"/>
      <c r="O387" s="11"/>
      <c r="P387" s="12"/>
      <c r="Q387" s="27"/>
      <c r="R387" s="14"/>
      <c r="S387" s="28"/>
      <c r="T387" s="15"/>
      <c r="U387" s="16"/>
      <c r="V387" s="17"/>
      <c r="W387" s="17"/>
      <c r="X387" s="11"/>
      <c r="Y387" s="30"/>
      <c r="Z387" s="19"/>
      <c r="AA387" s="18"/>
      <c r="AB387" s="20"/>
      <c r="AC387" s="29"/>
    </row>
    <row r="388" spans="13:29" x14ac:dyDescent="0.25">
      <c r="M388" s="9"/>
      <c r="N388" s="10"/>
      <c r="O388" s="11"/>
      <c r="P388" s="12"/>
      <c r="Q388" s="27"/>
      <c r="R388" s="14"/>
      <c r="S388" s="28"/>
      <c r="T388" s="15"/>
      <c r="U388" s="16"/>
      <c r="V388" s="17"/>
      <c r="W388" s="17"/>
      <c r="X388" s="11"/>
      <c r="Y388" s="30"/>
      <c r="Z388" s="19"/>
      <c r="AA388" s="18"/>
      <c r="AB388" s="20"/>
      <c r="AC388" s="29"/>
    </row>
    <row r="389" spans="13:29" x14ac:dyDescent="0.25">
      <c r="M389" s="9"/>
      <c r="N389" s="10"/>
      <c r="O389" s="11"/>
      <c r="P389" s="12"/>
      <c r="Q389" s="27"/>
      <c r="R389" s="14"/>
      <c r="S389" s="28"/>
      <c r="T389" s="15"/>
      <c r="U389" s="16"/>
      <c r="V389" s="17"/>
      <c r="W389" s="17"/>
      <c r="X389" s="11"/>
      <c r="Y389" s="30"/>
      <c r="Z389" s="19"/>
      <c r="AA389" s="18"/>
      <c r="AB389" s="20"/>
      <c r="AC389" s="29"/>
    </row>
    <row r="390" spans="13:29" x14ac:dyDescent="0.25">
      <c r="M390" s="9"/>
      <c r="N390" s="10"/>
      <c r="O390" s="11"/>
      <c r="P390" s="12"/>
      <c r="Q390" s="27"/>
      <c r="R390" s="14"/>
      <c r="S390" s="28"/>
      <c r="T390" s="15"/>
      <c r="U390" s="16"/>
      <c r="V390" s="17"/>
      <c r="W390" s="17"/>
      <c r="X390" s="11"/>
      <c r="Y390" s="30"/>
      <c r="Z390" s="19"/>
      <c r="AA390" s="18"/>
      <c r="AB390" s="20"/>
      <c r="AC390" s="29"/>
    </row>
    <row r="391" spans="13:29" x14ac:dyDescent="0.25">
      <c r="M391" s="9"/>
      <c r="N391" s="10"/>
      <c r="O391" s="11"/>
      <c r="P391" s="12"/>
      <c r="Q391" s="27"/>
      <c r="R391" s="14"/>
      <c r="S391" s="28"/>
      <c r="T391" s="15"/>
      <c r="U391" s="16"/>
      <c r="V391" s="17"/>
      <c r="W391" s="17"/>
      <c r="X391" s="11"/>
      <c r="Y391" s="30"/>
      <c r="Z391" s="19"/>
      <c r="AA391" s="18"/>
      <c r="AB391" s="20"/>
      <c r="AC391" s="29"/>
    </row>
    <row r="392" spans="13:29" x14ac:dyDescent="0.25">
      <c r="M392" s="9"/>
      <c r="N392" s="10"/>
      <c r="O392" s="11"/>
      <c r="P392" s="12"/>
      <c r="Q392" s="27"/>
      <c r="R392" s="14"/>
      <c r="S392" s="28"/>
      <c r="T392" s="15"/>
      <c r="U392" s="16"/>
      <c r="V392" s="17"/>
      <c r="W392" s="17"/>
      <c r="X392" s="11"/>
      <c r="Y392" s="30"/>
      <c r="Z392" s="19"/>
      <c r="AA392" s="18"/>
      <c r="AB392" s="20"/>
      <c r="AC392" s="29"/>
    </row>
    <row r="393" spans="13:29" x14ac:dyDescent="0.25">
      <c r="M393" s="9"/>
      <c r="N393" s="10"/>
      <c r="O393" s="11"/>
      <c r="P393" s="12"/>
      <c r="Q393" s="27"/>
      <c r="R393" s="14"/>
      <c r="S393" s="28"/>
      <c r="T393" s="15"/>
      <c r="U393" s="16"/>
      <c r="V393" s="17"/>
      <c r="W393" s="17"/>
      <c r="X393" s="11"/>
      <c r="Y393" s="30"/>
      <c r="Z393" s="19"/>
      <c r="AA393" s="18"/>
      <c r="AB393" s="20"/>
      <c r="AC393" s="29"/>
    </row>
    <row r="394" spans="13:29" x14ac:dyDescent="0.25">
      <c r="M394" s="9"/>
      <c r="N394" s="10"/>
      <c r="O394" s="11"/>
      <c r="P394" s="12"/>
      <c r="Q394" s="27"/>
      <c r="R394" s="14"/>
      <c r="S394" s="28"/>
      <c r="T394" s="15"/>
      <c r="U394" s="16"/>
      <c r="V394" s="17"/>
      <c r="W394" s="17"/>
      <c r="X394" s="11"/>
      <c r="Y394" s="30"/>
      <c r="Z394" s="19"/>
      <c r="AA394" s="18"/>
      <c r="AB394" s="20"/>
      <c r="AC394" s="29"/>
    </row>
    <row r="395" spans="13:29" x14ac:dyDescent="0.25">
      <c r="M395" s="9"/>
      <c r="N395" s="10"/>
      <c r="O395" s="11"/>
      <c r="P395" s="12"/>
      <c r="Q395" s="27"/>
      <c r="R395" s="14"/>
      <c r="S395" s="28"/>
      <c r="T395" s="15"/>
      <c r="U395" s="16"/>
      <c r="V395" s="17"/>
      <c r="W395" s="17"/>
      <c r="X395" s="11"/>
      <c r="Y395" s="30"/>
      <c r="Z395" s="19"/>
      <c r="AA395" s="18"/>
      <c r="AB395" s="20"/>
      <c r="AC395" s="29"/>
    </row>
    <row r="396" spans="13:29" x14ac:dyDescent="0.25">
      <c r="M396" s="9"/>
      <c r="N396" s="10"/>
      <c r="O396" s="11"/>
      <c r="P396" s="12"/>
      <c r="Q396" s="27"/>
      <c r="R396" s="14"/>
      <c r="S396" s="28"/>
      <c r="T396" s="15"/>
      <c r="U396" s="16"/>
      <c r="V396" s="17"/>
      <c r="W396" s="17"/>
      <c r="X396" s="11"/>
      <c r="Y396" s="30"/>
      <c r="Z396" s="19"/>
      <c r="AA396" s="18"/>
      <c r="AB396" s="20"/>
      <c r="AC396" s="29"/>
    </row>
    <row r="397" spans="13:29" x14ac:dyDescent="0.25">
      <c r="M397" s="9"/>
      <c r="N397" s="10"/>
      <c r="O397" s="11"/>
      <c r="P397" s="12"/>
      <c r="Q397" s="27"/>
      <c r="R397" s="14"/>
      <c r="S397" s="15"/>
      <c r="T397" s="15"/>
      <c r="U397" s="16"/>
      <c r="V397" s="17"/>
      <c r="W397" s="17"/>
      <c r="X397" s="11"/>
      <c r="Y397" s="30"/>
      <c r="Z397" s="19"/>
      <c r="AA397" s="18"/>
      <c r="AB397" s="20"/>
      <c r="AC397" s="29"/>
    </row>
    <row r="398" spans="13:29" x14ac:dyDescent="0.25">
      <c r="M398" s="9"/>
      <c r="N398" s="10"/>
      <c r="O398" s="11"/>
      <c r="P398" s="12"/>
      <c r="Q398" s="27"/>
      <c r="R398" s="14"/>
      <c r="S398" s="28"/>
      <c r="T398" s="15"/>
      <c r="U398" s="16"/>
      <c r="V398" s="17"/>
      <c r="W398" s="17"/>
      <c r="X398" s="11"/>
      <c r="Y398" s="30"/>
      <c r="Z398" s="19"/>
      <c r="AA398" s="18"/>
      <c r="AB398" s="20"/>
      <c r="AC398" s="29"/>
    </row>
    <row r="399" spans="13:29" x14ac:dyDescent="0.25">
      <c r="M399" s="9"/>
      <c r="N399" s="10"/>
      <c r="O399" s="11"/>
      <c r="P399" s="12"/>
      <c r="Q399" s="27"/>
      <c r="R399" s="14"/>
      <c r="S399" s="28"/>
      <c r="T399" s="15"/>
      <c r="U399" s="16"/>
      <c r="V399" s="17"/>
      <c r="W399" s="17"/>
      <c r="X399" s="11"/>
      <c r="Y399" s="30"/>
      <c r="Z399" s="19"/>
      <c r="AA399" s="18"/>
      <c r="AB399" s="20"/>
      <c r="AC399" s="29"/>
    </row>
    <row r="400" spans="13:29" x14ac:dyDescent="0.25">
      <c r="M400" s="9"/>
      <c r="N400" s="10"/>
      <c r="O400" s="11"/>
      <c r="P400" s="12"/>
      <c r="Q400" s="27"/>
      <c r="R400" s="14"/>
      <c r="S400" s="28"/>
      <c r="T400" s="15"/>
      <c r="U400" s="16"/>
      <c r="V400" s="17"/>
      <c r="W400" s="17"/>
      <c r="X400" s="11"/>
      <c r="Y400" s="30"/>
      <c r="Z400" s="19"/>
      <c r="AA400" s="18"/>
      <c r="AB400" s="20"/>
      <c r="AC400" s="29"/>
    </row>
    <row r="401" spans="13:29" x14ac:dyDescent="0.25">
      <c r="M401" s="9"/>
      <c r="N401" s="10"/>
      <c r="O401" s="11"/>
      <c r="P401" s="12"/>
      <c r="Q401" s="27"/>
      <c r="R401" s="14"/>
      <c r="S401" s="28"/>
      <c r="T401" s="15"/>
      <c r="U401" s="16"/>
      <c r="V401" s="17"/>
      <c r="W401" s="17"/>
      <c r="X401" s="11"/>
      <c r="Y401" s="30"/>
      <c r="Z401" s="19"/>
      <c r="AA401" s="18"/>
      <c r="AB401" s="20"/>
      <c r="AC401" s="29"/>
    </row>
    <row r="402" spans="13:29" x14ac:dyDescent="0.25">
      <c r="M402" s="9"/>
      <c r="N402" s="10"/>
      <c r="O402" s="11"/>
      <c r="P402" s="12"/>
      <c r="Q402" s="27"/>
      <c r="R402" s="14"/>
      <c r="S402" s="28"/>
      <c r="T402" s="15"/>
      <c r="U402" s="16"/>
      <c r="V402" s="17"/>
      <c r="W402" s="17"/>
      <c r="X402" s="11"/>
      <c r="Y402" s="30"/>
      <c r="Z402" s="19"/>
      <c r="AA402" s="18"/>
      <c r="AB402" s="20"/>
      <c r="AC402" s="29"/>
    </row>
    <row r="403" spans="13:29" x14ac:dyDescent="0.25">
      <c r="M403" s="9"/>
      <c r="N403" s="10"/>
      <c r="O403" s="11"/>
      <c r="P403" s="12"/>
      <c r="Q403" s="27"/>
      <c r="R403" s="14"/>
      <c r="S403" s="28"/>
      <c r="T403" s="15"/>
      <c r="U403" s="16"/>
      <c r="V403" s="17"/>
      <c r="W403" s="17"/>
      <c r="X403" s="11"/>
      <c r="Y403" s="30"/>
      <c r="Z403" s="19"/>
      <c r="AA403" s="18"/>
      <c r="AB403" s="20"/>
      <c r="AC403" s="29"/>
    </row>
    <row r="404" spans="13:29" x14ac:dyDescent="0.25">
      <c r="M404" s="9"/>
      <c r="N404" s="10"/>
      <c r="O404" s="11"/>
      <c r="P404" s="12"/>
      <c r="Q404" s="27"/>
      <c r="R404" s="14"/>
      <c r="S404" s="28"/>
      <c r="T404" s="15"/>
      <c r="U404" s="16"/>
      <c r="V404" s="17"/>
      <c r="W404" s="17"/>
      <c r="X404" s="11"/>
      <c r="Y404" s="30"/>
      <c r="Z404" s="19"/>
      <c r="AA404" s="18"/>
      <c r="AB404" s="20"/>
      <c r="AC404" s="29"/>
    </row>
    <row r="405" spans="13:29" x14ac:dyDescent="0.25">
      <c r="M405" s="9"/>
      <c r="N405" s="10"/>
      <c r="O405" s="11"/>
      <c r="P405" s="12"/>
      <c r="Q405" s="27"/>
      <c r="R405" s="14"/>
      <c r="S405" s="28"/>
      <c r="T405" s="15"/>
      <c r="U405" s="16"/>
      <c r="V405" s="17"/>
      <c r="W405" s="17"/>
      <c r="X405" s="11"/>
      <c r="Y405" s="30"/>
      <c r="Z405" s="19"/>
      <c r="AA405" s="18"/>
      <c r="AB405" s="20"/>
      <c r="AC405" s="29"/>
    </row>
    <row r="406" spans="13:29" x14ac:dyDescent="0.25">
      <c r="M406" s="9"/>
      <c r="N406" s="10"/>
      <c r="O406" s="11"/>
      <c r="P406" s="12"/>
      <c r="Q406" s="27"/>
      <c r="R406" s="14"/>
      <c r="S406" s="28"/>
      <c r="T406" s="15"/>
      <c r="U406" s="16"/>
      <c r="V406" s="17"/>
      <c r="W406" s="17"/>
      <c r="X406" s="11"/>
      <c r="Y406" s="30"/>
      <c r="Z406" s="19"/>
      <c r="AA406" s="18"/>
      <c r="AB406" s="20"/>
      <c r="AC406" s="29"/>
    </row>
    <row r="407" spans="13:29" x14ac:dyDescent="0.25">
      <c r="M407" s="9"/>
      <c r="N407" s="10"/>
      <c r="O407" s="11"/>
      <c r="P407" s="12"/>
      <c r="Q407" s="27"/>
      <c r="R407" s="14"/>
      <c r="S407" s="28"/>
      <c r="T407" s="15"/>
      <c r="U407" s="16"/>
      <c r="V407" s="17"/>
      <c r="W407" s="17"/>
      <c r="X407" s="11"/>
      <c r="Y407" s="30"/>
      <c r="Z407" s="19"/>
      <c r="AA407" s="18"/>
      <c r="AB407" s="20"/>
      <c r="AC407" s="29"/>
    </row>
    <row r="408" spans="13:29" x14ac:dyDescent="0.25">
      <c r="M408" s="9"/>
      <c r="N408" s="10"/>
      <c r="O408" s="11"/>
      <c r="P408" s="12"/>
      <c r="Q408" s="27"/>
      <c r="R408" s="14"/>
      <c r="S408" s="28"/>
      <c r="T408" s="15"/>
      <c r="U408" s="16"/>
      <c r="V408" s="17"/>
      <c r="W408" s="17"/>
      <c r="X408" s="11"/>
      <c r="Y408" s="30"/>
      <c r="Z408" s="19"/>
      <c r="AA408" s="18"/>
      <c r="AB408" s="20"/>
      <c r="AC408" s="29"/>
    </row>
    <row r="409" spans="13:29" x14ac:dyDescent="0.25">
      <c r="M409" s="9"/>
      <c r="N409" s="10"/>
      <c r="O409" s="11"/>
      <c r="P409" s="12"/>
      <c r="Q409" s="27"/>
      <c r="R409" s="14"/>
      <c r="S409" s="28"/>
      <c r="T409" s="15"/>
      <c r="U409" s="16"/>
      <c r="V409" s="17"/>
      <c r="W409" s="17"/>
      <c r="X409" s="11"/>
      <c r="Y409" s="30"/>
      <c r="Z409" s="19"/>
      <c r="AA409" s="18"/>
      <c r="AB409" s="20"/>
      <c r="AC409" s="29"/>
    </row>
    <row r="410" spans="13:29" x14ac:dyDescent="0.25">
      <c r="M410" s="9"/>
      <c r="N410" s="10"/>
      <c r="O410" s="11"/>
      <c r="P410" s="12"/>
      <c r="Q410" s="27"/>
      <c r="R410" s="14"/>
      <c r="S410" s="28"/>
      <c r="T410" s="15"/>
      <c r="U410" s="16"/>
      <c r="V410" s="17"/>
      <c r="W410" s="17"/>
      <c r="X410" s="11"/>
      <c r="Y410" s="30"/>
      <c r="Z410" s="19"/>
      <c r="AA410" s="18"/>
      <c r="AB410" s="20"/>
      <c r="AC410" s="29"/>
    </row>
    <row r="411" spans="13:29" x14ac:dyDescent="0.25">
      <c r="M411" s="9"/>
      <c r="N411" s="10"/>
      <c r="O411" s="11"/>
      <c r="P411" s="12"/>
      <c r="Q411" s="27"/>
      <c r="R411" s="14"/>
      <c r="S411" s="28"/>
      <c r="T411" s="15"/>
      <c r="U411" s="16"/>
      <c r="V411" s="17"/>
      <c r="W411" s="17"/>
      <c r="X411" s="11"/>
      <c r="Y411" s="30"/>
      <c r="Z411" s="19"/>
      <c r="AA411" s="18"/>
      <c r="AB411" s="20"/>
      <c r="AC411" s="29"/>
    </row>
    <row r="412" spans="13:29" x14ac:dyDescent="0.25">
      <c r="M412" s="9"/>
      <c r="N412" s="10"/>
      <c r="O412" s="11"/>
      <c r="P412" s="12"/>
      <c r="Q412" s="27"/>
      <c r="R412" s="14"/>
      <c r="S412" s="28"/>
      <c r="T412" s="15"/>
      <c r="U412" s="16"/>
      <c r="V412" s="17"/>
      <c r="W412" s="17"/>
      <c r="X412" s="11"/>
      <c r="Y412" s="30"/>
      <c r="Z412" s="19"/>
      <c r="AA412" s="18"/>
      <c r="AB412" s="20"/>
      <c r="AC412" s="29"/>
    </row>
    <row r="413" spans="13:29" x14ac:dyDescent="0.25">
      <c r="M413" s="9"/>
      <c r="N413" s="10"/>
      <c r="O413" s="11"/>
      <c r="P413" s="12"/>
      <c r="Q413" s="27"/>
      <c r="R413" s="14"/>
      <c r="S413" s="28"/>
      <c r="T413" s="15"/>
      <c r="U413" s="16"/>
      <c r="V413" s="17"/>
      <c r="W413" s="17"/>
      <c r="X413" s="11"/>
      <c r="Y413" s="30"/>
      <c r="Z413" s="19"/>
      <c r="AA413" s="18"/>
      <c r="AB413" s="20"/>
      <c r="AC413" s="29"/>
    </row>
    <row r="414" spans="13:29" x14ac:dyDescent="0.25">
      <c r="M414" s="9"/>
      <c r="N414" s="10"/>
      <c r="O414" s="11"/>
      <c r="P414" s="12"/>
      <c r="Q414" s="27"/>
      <c r="R414" s="14"/>
      <c r="S414" s="28"/>
      <c r="T414" s="15"/>
      <c r="U414" s="16"/>
      <c r="V414" s="17"/>
      <c r="W414" s="17"/>
      <c r="X414" s="11"/>
      <c r="Y414" s="30"/>
      <c r="Z414" s="19"/>
      <c r="AA414" s="18"/>
      <c r="AB414" s="20"/>
      <c r="AC414" s="29"/>
    </row>
    <row r="415" spans="13:29" x14ac:dyDescent="0.25">
      <c r="M415" s="9"/>
      <c r="N415" s="10"/>
      <c r="O415" s="11"/>
      <c r="P415" s="12"/>
      <c r="Q415" s="27"/>
      <c r="R415" s="14"/>
      <c r="S415" s="28"/>
      <c r="T415" s="15"/>
      <c r="U415" s="16"/>
      <c r="V415" s="17"/>
      <c r="W415" s="17"/>
      <c r="X415" s="11"/>
      <c r="Y415" s="30"/>
      <c r="Z415" s="19"/>
      <c r="AA415" s="18"/>
      <c r="AB415" s="20"/>
      <c r="AC415" s="29"/>
    </row>
    <row r="416" spans="13:29" x14ac:dyDescent="0.25">
      <c r="M416" s="9"/>
      <c r="N416" s="10"/>
      <c r="O416" s="11"/>
      <c r="P416" s="12"/>
      <c r="Q416" s="27"/>
      <c r="R416" s="14"/>
      <c r="S416" s="28"/>
      <c r="T416" s="15"/>
      <c r="U416" s="16"/>
      <c r="V416" s="17"/>
      <c r="W416" s="17"/>
      <c r="X416" s="11"/>
      <c r="Y416" s="30"/>
      <c r="Z416" s="19"/>
      <c r="AA416" s="18"/>
      <c r="AB416" s="20"/>
      <c r="AC416" s="29"/>
    </row>
    <row r="417" spans="13:29" x14ac:dyDescent="0.25">
      <c r="M417" s="9"/>
      <c r="N417" s="10"/>
      <c r="O417" s="11"/>
      <c r="P417" s="12"/>
      <c r="Q417" s="27"/>
      <c r="R417" s="14"/>
      <c r="S417" s="28"/>
      <c r="T417" s="15"/>
      <c r="U417" s="16"/>
      <c r="V417" s="17"/>
      <c r="W417" s="17"/>
      <c r="X417" s="11"/>
      <c r="Y417" s="30"/>
      <c r="Z417" s="19"/>
      <c r="AA417" s="18"/>
      <c r="AB417" s="20"/>
      <c r="AC417" s="29"/>
    </row>
    <row r="418" spans="13:29" x14ac:dyDescent="0.25">
      <c r="M418" s="9"/>
      <c r="N418" s="10"/>
      <c r="O418" s="11"/>
      <c r="P418" s="12"/>
      <c r="Q418" s="27"/>
      <c r="R418" s="14"/>
      <c r="S418" s="28"/>
      <c r="T418" s="15"/>
      <c r="U418" s="16"/>
      <c r="V418" s="17"/>
      <c r="W418" s="17"/>
      <c r="X418" s="11"/>
      <c r="Y418" s="30"/>
      <c r="Z418" s="19"/>
      <c r="AA418" s="18"/>
      <c r="AB418" s="20"/>
      <c r="AC418" s="29"/>
    </row>
    <row r="419" spans="13:29" x14ac:dyDescent="0.25">
      <c r="M419" s="9"/>
      <c r="N419" s="10"/>
      <c r="O419" s="11"/>
      <c r="P419" s="12"/>
      <c r="Q419" s="27"/>
      <c r="R419" s="14"/>
      <c r="S419" s="28"/>
      <c r="T419" s="15"/>
      <c r="U419" s="16"/>
      <c r="V419" s="17"/>
      <c r="W419" s="17"/>
      <c r="X419" s="11"/>
      <c r="Y419" s="30"/>
      <c r="Z419" s="19"/>
      <c r="AA419" s="18"/>
      <c r="AB419" s="20"/>
      <c r="AC419" s="29"/>
    </row>
    <row r="420" spans="13:29" x14ac:dyDescent="0.25">
      <c r="M420" s="9"/>
      <c r="N420" s="10"/>
      <c r="O420" s="11"/>
      <c r="P420" s="12"/>
      <c r="Q420" s="27"/>
      <c r="R420" s="14"/>
      <c r="S420" s="28"/>
      <c r="T420" s="15"/>
      <c r="U420" s="16"/>
      <c r="V420" s="17"/>
      <c r="W420" s="17"/>
      <c r="X420" s="11"/>
      <c r="Y420" s="30"/>
      <c r="Z420" s="19"/>
      <c r="AA420" s="18"/>
      <c r="AB420" s="20"/>
      <c r="AC420" s="29"/>
    </row>
    <row r="421" spans="13:29" x14ac:dyDescent="0.25">
      <c r="M421" s="9"/>
      <c r="N421" s="10"/>
      <c r="O421" s="11"/>
      <c r="P421" s="12"/>
      <c r="Q421" s="27"/>
      <c r="R421" s="14"/>
      <c r="S421" s="28"/>
      <c r="T421" s="15"/>
      <c r="U421" s="16"/>
      <c r="V421" s="17"/>
      <c r="W421" s="17"/>
      <c r="X421" s="11"/>
      <c r="Y421" s="30"/>
      <c r="Z421" s="19"/>
      <c r="AA421" s="18"/>
      <c r="AB421" s="20"/>
      <c r="AC421" s="29"/>
    </row>
    <row r="422" spans="13:29" x14ac:dyDescent="0.25">
      <c r="M422" s="9"/>
      <c r="N422" s="10"/>
      <c r="O422" s="11"/>
      <c r="P422" s="12"/>
      <c r="Q422" s="27"/>
      <c r="R422" s="14"/>
      <c r="S422" s="28"/>
      <c r="T422" s="15"/>
      <c r="U422" s="16"/>
      <c r="V422" s="17"/>
      <c r="W422" s="17"/>
      <c r="X422" s="11"/>
      <c r="Y422" s="30"/>
      <c r="Z422" s="19"/>
      <c r="AA422" s="18"/>
      <c r="AB422" s="20"/>
      <c r="AC422" s="29"/>
    </row>
    <row r="423" spans="13:29" x14ac:dyDescent="0.25">
      <c r="M423" s="9"/>
      <c r="N423" s="10"/>
      <c r="O423" s="11"/>
      <c r="P423" s="12"/>
      <c r="Q423" s="27"/>
      <c r="R423" s="14"/>
      <c r="S423" s="28"/>
      <c r="T423" s="15"/>
      <c r="U423" s="16"/>
      <c r="V423" s="17"/>
      <c r="W423" s="17"/>
      <c r="X423" s="11"/>
      <c r="Y423" s="30"/>
      <c r="Z423" s="19"/>
      <c r="AA423" s="18"/>
      <c r="AB423" s="20"/>
      <c r="AC423" s="29"/>
    </row>
    <row r="424" spans="13:29" x14ac:dyDescent="0.25">
      <c r="M424" s="9"/>
      <c r="N424" s="10"/>
      <c r="O424" s="11"/>
      <c r="P424" s="12"/>
      <c r="Q424" s="27"/>
      <c r="R424" s="14"/>
      <c r="S424" s="28"/>
      <c r="T424" s="15"/>
      <c r="U424" s="16"/>
      <c r="V424" s="17"/>
      <c r="W424" s="17"/>
      <c r="X424" s="11"/>
      <c r="Y424" s="30"/>
      <c r="Z424" s="19"/>
      <c r="AA424" s="18"/>
      <c r="AB424" s="20"/>
      <c r="AC424" s="29"/>
    </row>
    <row r="425" spans="13:29" x14ac:dyDescent="0.25">
      <c r="M425" s="9"/>
      <c r="N425" s="10"/>
      <c r="O425" s="11"/>
      <c r="P425" s="12"/>
      <c r="Q425" s="27"/>
      <c r="R425" s="14"/>
      <c r="S425" s="28"/>
      <c r="T425" s="15"/>
      <c r="U425" s="16"/>
      <c r="V425" s="17"/>
      <c r="W425" s="17"/>
      <c r="X425" s="11"/>
      <c r="Y425" s="30"/>
      <c r="Z425" s="19"/>
      <c r="AA425" s="18"/>
      <c r="AB425" s="20"/>
      <c r="AC425" s="29"/>
    </row>
    <row r="426" spans="13:29" x14ac:dyDescent="0.25">
      <c r="M426" s="9"/>
      <c r="N426" s="10"/>
      <c r="O426" s="11"/>
      <c r="P426" s="12"/>
      <c r="Q426" s="27"/>
      <c r="R426" s="14"/>
      <c r="S426" s="28"/>
      <c r="T426" s="15"/>
      <c r="U426" s="16"/>
      <c r="V426" s="17"/>
      <c r="W426" s="17"/>
      <c r="X426" s="11"/>
      <c r="Y426" s="30"/>
      <c r="Z426" s="19"/>
      <c r="AA426" s="18"/>
      <c r="AB426" s="20"/>
      <c r="AC426" s="29"/>
    </row>
    <row r="427" spans="13:29" x14ac:dyDescent="0.25">
      <c r="M427" s="9"/>
      <c r="N427" s="10"/>
      <c r="O427" s="11"/>
      <c r="P427" s="12"/>
      <c r="Q427" s="27"/>
      <c r="R427" s="14"/>
      <c r="S427" s="28"/>
      <c r="T427" s="15"/>
      <c r="U427" s="16"/>
      <c r="V427" s="17"/>
      <c r="W427" s="17"/>
      <c r="X427" s="11"/>
      <c r="Y427" s="30"/>
      <c r="Z427" s="19"/>
      <c r="AA427" s="18"/>
      <c r="AB427" s="20"/>
      <c r="AC427" s="29"/>
    </row>
    <row r="428" spans="13:29" x14ac:dyDescent="0.25">
      <c r="M428" s="9"/>
      <c r="N428" s="10"/>
      <c r="O428" s="11"/>
      <c r="P428" s="12"/>
      <c r="Q428" s="27"/>
      <c r="R428" s="14"/>
      <c r="S428" s="28"/>
      <c r="T428" s="15"/>
      <c r="U428" s="16"/>
      <c r="V428" s="17"/>
      <c r="W428" s="17"/>
      <c r="X428" s="11"/>
      <c r="Y428" s="30"/>
      <c r="Z428" s="19"/>
      <c r="AA428" s="18"/>
      <c r="AB428" s="20"/>
      <c r="AC428" s="29"/>
    </row>
    <row r="429" spans="13:29" x14ac:dyDescent="0.25">
      <c r="M429" s="9"/>
      <c r="N429" s="10"/>
      <c r="O429" s="11"/>
      <c r="P429" s="12"/>
      <c r="Q429" s="27"/>
      <c r="R429" s="14"/>
      <c r="S429" s="28"/>
      <c r="T429" s="15"/>
      <c r="U429" s="16"/>
      <c r="V429" s="17"/>
      <c r="W429" s="17"/>
      <c r="X429" s="11"/>
      <c r="Y429" s="30"/>
      <c r="Z429" s="19"/>
      <c r="AA429" s="18"/>
      <c r="AB429" s="20"/>
      <c r="AC429" s="29"/>
    </row>
    <row r="430" spans="13:29" x14ac:dyDescent="0.25">
      <c r="M430" s="9"/>
      <c r="N430" s="10"/>
      <c r="O430" s="11"/>
      <c r="P430" s="12"/>
      <c r="Q430" s="27"/>
      <c r="R430" s="14"/>
      <c r="S430" s="28"/>
      <c r="T430" s="15"/>
      <c r="U430" s="16"/>
      <c r="V430" s="17"/>
      <c r="W430" s="17"/>
      <c r="X430" s="11"/>
      <c r="Y430" s="30"/>
      <c r="Z430" s="19"/>
      <c r="AA430" s="18"/>
      <c r="AB430" s="20"/>
      <c r="AC430" s="29"/>
    </row>
    <row r="431" spans="13:29" x14ac:dyDescent="0.25">
      <c r="M431" s="9"/>
      <c r="N431" s="10"/>
      <c r="O431" s="11"/>
      <c r="P431" s="12"/>
      <c r="Q431" s="27"/>
      <c r="R431" s="14"/>
      <c r="S431" s="28"/>
      <c r="T431" s="15"/>
      <c r="U431" s="16"/>
      <c r="V431" s="17"/>
      <c r="W431" s="17"/>
      <c r="X431" s="11"/>
      <c r="Y431" s="30"/>
      <c r="Z431" s="19"/>
      <c r="AA431" s="18"/>
      <c r="AB431" s="20"/>
      <c r="AC431" s="29"/>
    </row>
    <row r="432" spans="13:29" x14ac:dyDescent="0.25">
      <c r="M432" s="9"/>
      <c r="N432" s="10"/>
      <c r="O432" s="11"/>
      <c r="P432" s="12"/>
      <c r="Q432" s="27"/>
      <c r="R432" s="14"/>
      <c r="S432" s="28"/>
      <c r="T432" s="15"/>
      <c r="U432" s="16"/>
      <c r="V432" s="17"/>
      <c r="W432" s="17"/>
      <c r="X432" s="11"/>
      <c r="Y432" s="30"/>
      <c r="Z432" s="19"/>
      <c r="AA432" s="18"/>
      <c r="AB432" s="20"/>
      <c r="AC432" s="29"/>
    </row>
    <row r="433" spans="13:29" x14ac:dyDescent="0.25">
      <c r="M433" s="9"/>
      <c r="N433" s="10"/>
      <c r="O433" s="11"/>
      <c r="P433" s="12"/>
      <c r="Q433" s="27"/>
      <c r="R433" s="14"/>
      <c r="S433" s="28"/>
      <c r="T433" s="15"/>
      <c r="U433" s="16"/>
      <c r="V433" s="17"/>
      <c r="W433" s="17"/>
      <c r="X433" s="11"/>
      <c r="Y433" s="30"/>
      <c r="Z433" s="19"/>
      <c r="AA433" s="18"/>
      <c r="AB433" s="20"/>
      <c r="AC433" s="29"/>
    </row>
    <row r="434" spans="13:29" x14ac:dyDescent="0.25">
      <c r="M434" s="9"/>
      <c r="N434" s="10"/>
      <c r="O434" s="11"/>
      <c r="P434" s="12"/>
      <c r="Q434" s="27"/>
      <c r="R434" s="14"/>
      <c r="S434" s="28"/>
      <c r="T434" s="15"/>
      <c r="U434" s="16"/>
      <c r="V434" s="17"/>
      <c r="W434" s="17"/>
      <c r="X434" s="11"/>
      <c r="Y434" s="30"/>
      <c r="Z434" s="19"/>
      <c r="AA434" s="18"/>
      <c r="AB434" s="20"/>
      <c r="AC434" s="29"/>
    </row>
    <row r="435" spans="13:29" x14ac:dyDescent="0.25">
      <c r="M435" s="9"/>
      <c r="N435" s="10"/>
      <c r="O435" s="11"/>
      <c r="P435" s="12"/>
      <c r="Q435" s="27"/>
      <c r="R435" s="14"/>
      <c r="S435" s="28"/>
      <c r="T435" s="15"/>
      <c r="U435" s="16"/>
      <c r="V435" s="17"/>
      <c r="W435" s="17"/>
      <c r="X435" s="11"/>
      <c r="Y435" s="30"/>
      <c r="Z435" s="19"/>
      <c r="AA435" s="18"/>
      <c r="AB435" s="20"/>
      <c r="AC435" s="29"/>
    </row>
    <row r="436" spans="13:29" x14ac:dyDescent="0.25">
      <c r="M436" s="9"/>
      <c r="N436" s="10"/>
      <c r="O436" s="11"/>
      <c r="P436" s="12"/>
      <c r="Q436" s="27"/>
      <c r="R436" s="14"/>
      <c r="S436" s="28"/>
      <c r="T436" s="15"/>
      <c r="U436" s="16"/>
      <c r="V436" s="17"/>
      <c r="W436" s="17"/>
      <c r="X436" s="11"/>
      <c r="Y436" s="30"/>
      <c r="Z436" s="19"/>
      <c r="AA436" s="18"/>
      <c r="AB436" s="20"/>
      <c r="AC436" s="29"/>
    </row>
    <row r="437" spans="13:29" x14ac:dyDescent="0.25">
      <c r="M437" s="9"/>
      <c r="N437" s="10"/>
      <c r="O437" s="11"/>
      <c r="P437" s="12"/>
      <c r="Q437" s="27"/>
      <c r="R437" s="14"/>
      <c r="S437" s="28"/>
      <c r="T437" s="15"/>
      <c r="U437" s="16"/>
      <c r="V437" s="17"/>
      <c r="W437" s="17"/>
      <c r="X437" s="11"/>
      <c r="Y437" s="30"/>
      <c r="Z437" s="19"/>
      <c r="AA437" s="18"/>
      <c r="AB437" s="20"/>
      <c r="AC437" s="29"/>
    </row>
    <row r="438" spans="13:29" x14ac:dyDescent="0.25">
      <c r="M438" s="9"/>
      <c r="N438" s="10"/>
      <c r="O438" s="11"/>
      <c r="P438" s="12"/>
      <c r="Q438" s="27"/>
      <c r="R438" s="14"/>
      <c r="S438" s="28"/>
      <c r="T438" s="15"/>
      <c r="U438" s="16"/>
      <c r="V438" s="17"/>
      <c r="W438" s="17"/>
      <c r="X438" s="11"/>
      <c r="Y438" s="30"/>
      <c r="Z438" s="19"/>
      <c r="AA438" s="18"/>
      <c r="AB438" s="20"/>
      <c r="AC438" s="29"/>
    </row>
    <row r="439" spans="13:29" x14ac:dyDescent="0.25">
      <c r="M439" s="9"/>
      <c r="N439" s="10"/>
      <c r="O439" s="11"/>
      <c r="P439" s="12"/>
      <c r="Q439" s="27"/>
      <c r="R439" s="14"/>
      <c r="S439" s="28"/>
      <c r="T439" s="15"/>
      <c r="U439" s="16"/>
      <c r="V439" s="17"/>
      <c r="W439" s="17"/>
      <c r="X439" s="11"/>
      <c r="Y439" s="30"/>
      <c r="Z439" s="19"/>
      <c r="AA439" s="18"/>
      <c r="AB439" s="20"/>
      <c r="AC439" s="29"/>
    </row>
    <row r="440" spans="13:29" x14ac:dyDescent="0.25">
      <c r="M440" s="9"/>
      <c r="N440" s="10"/>
      <c r="O440" s="11"/>
      <c r="P440" s="12"/>
      <c r="Q440" s="27"/>
      <c r="R440" s="14"/>
      <c r="S440" s="28"/>
      <c r="T440" s="15"/>
      <c r="U440" s="16"/>
      <c r="V440" s="17"/>
      <c r="W440" s="17"/>
      <c r="X440" s="11"/>
      <c r="Y440" s="30"/>
      <c r="Z440" s="19"/>
      <c r="AA440" s="18"/>
      <c r="AB440" s="20"/>
      <c r="AC440" s="29"/>
    </row>
    <row r="441" spans="13:29" x14ac:dyDescent="0.25">
      <c r="M441" s="9"/>
      <c r="N441" s="10"/>
      <c r="O441" s="11"/>
      <c r="P441" s="12"/>
      <c r="Q441" s="27"/>
      <c r="R441" s="14"/>
      <c r="S441" s="28"/>
      <c r="T441" s="15"/>
      <c r="U441" s="16"/>
      <c r="V441" s="17"/>
      <c r="W441" s="17"/>
      <c r="X441" s="11"/>
      <c r="Y441" s="30"/>
      <c r="Z441" s="19"/>
      <c r="AA441" s="18"/>
      <c r="AB441" s="20"/>
      <c r="AC441" s="29"/>
    </row>
    <row r="442" spans="13:29" x14ac:dyDescent="0.25">
      <c r="M442" s="9"/>
      <c r="N442" s="10"/>
      <c r="O442" s="11"/>
      <c r="P442" s="12"/>
      <c r="Q442" s="27"/>
      <c r="R442" s="14"/>
      <c r="S442" s="28"/>
      <c r="T442" s="15"/>
      <c r="U442" s="16"/>
      <c r="V442" s="17"/>
      <c r="W442" s="17"/>
      <c r="X442" s="11"/>
      <c r="Y442" s="30"/>
      <c r="Z442" s="19"/>
      <c r="AA442" s="18"/>
      <c r="AB442" s="20"/>
      <c r="AC442" s="29"/>
    </row>
    <row r="443" spans="13:29" x14ac:dyDescent="0.25">
      <c r="M443" s="9"/>
      <c r="N443" s="10"/>
      <c r="O443" s="11"/>
      <c r="P443" s="12"/>
      <c r="Q443" s="27"/>
      <c r="R443" s="14"/>
      <c r="S443" s="28"/>
      <c r="T443" s="15"/>
      <c r="U443" s="16"/>
      <c r="V443" s="17"/>
      <c r="W443" s="17"/>
      <c r="X443" s="11"/>
      <c r="Y443" s="30"/>
      <c r="Z443" s="19"/>
      <c r="AA443" s="18"/>
      <c r="AB443" s="20"/>
      <c r="AC443" s="29"/>
    </row>
    <row r="444" spans="13:29" x14ac:dyDescent="0.25">
      <c r="M444" s="9"/>
      <c r="N444" s="10"/>
      <c r="O444" s="11"/>
      <c r="P444" s="12"/>
      <c r="Q444" s="27"/>
      <c r="R444" s="14"/>
      <c r="S444" s="28"/>
      <c r="T444" s="15"/>
      <c r="U444" s="16"/>
      <c r="V444" s="17"/>
      <c r="W444" s="17"/>
      <c r="X444" s="11"/>
      <c r="Y444" s="30"/>
      <c r="Z444" s="19"/>
      <c r="AA444" s="18"/>
      <c r="AB444" s="20"/>
      <c r="AC444" s="29"/>
    </row>
    <row r="445" spans="13:29" x14ac:dyDescent="0.25">
      <c r="M445" s="9"/>
      <c r="N445" s="10"/>
      <c r="O445" s="11"/>
      <c r="P445" s="12"/>
      <c r="Q445" s="27"/>
      <c r="R445" s="14"/>
      <c r="S445" s="28"/>
      <c r="T445" s="15"/>
      <c r="U445" s="16"/>
      <c r="V445" s="17"/>
      <c r="W445" s="17"/>
      <c r="X445" s="11"/>
      <c r="Y445" s="30"/>
      <c r="Z445" s="19"/>
      <c r="AA445" s="18"/>
      <c r="AB445" s="20"/>
      <c r="AC445" s="29"/>
    </row>
    <row r="446" spans="13:29" x14ac:dyDescent="0.25">
      <c r="M446" s="9"/>
      <c r="N446" s="10"/>
      <c r="O446" s="11"/>
      <c r="P446" s="12"/>
      <c r="Q446" s="27"/>
      <c r="R446" s="14"/>
      <c r="S446" s="28"/>
      <c r="T446" s="15"/>
      <c r="U446" s="16"/>
      <c r="V446" s="17"/>
      <c r="W446" s="17"/>
      <c r="X446" s="11"/>
      <c r="Y446" s="30"/>
      <c r="Z446" s="19"/>
      <c r="AA446" s="18"/>
      <c r="AB446" s="20"/>
      <c r="AC446" s="29"/>
    </row>
    <row r="447" spans="13:29" x14ac:dyDescent="0.25">
      <c r="M447" s="9"/>
      <c r="N447" s="10"/>
      <c r="O447" s="11"/>
      <c r="P447" s="12"/>
      <c r="Q447" s="27"/>
      <c r="R447" s="14"/>
      <c r="S447" s="28"/>
      <c r="T447" s="15"/>
      <c r="U447" s="16"/>
      <c r="V447" s="17"/>
      <c r="W447" s="17"/>
      <c r="X447" s="11"/>
      <c r="Y447" s="30"/>
      <c r="Z447" s="19"/>
      <c r="AA447" s="18"/>
      <c r="AB447" s="20"/>
      <c r="AC447" s="29"/>
    </row>
    <row r="448" spans="13:29" x14ac:dyDescent="0.25">
      <c r="M448" s="9"/>
      <c r="N448" s="10"/>
      <c r="O448" s="11"/>
      <c r="P448" s="12"/>
      <c r="Q448" s="27"/>
      <c r="R448" s="14"/>
      <c r="S448" s="28"/>
      <c r="T448" s="15"/>
      <c r="U448" s="16"/>
      <c r="V448" s="17"/>
      <c r="W448" s="17"/>
      <c r="X448" s="11"/>
      <c r="Y448" s="30"/>
      <c r="Z448" s="19"/>
      <c r="AA448" s="18"/>
      <c r="AB448" s="20"/>
      <c r="AC448" s="29"/>
    </row>
    <row r="449" spans="13:29" x14ac:dyDescent="0.25">
      <c r="M449" s="9"/>
      <c r="N449" s="10"/>
      <c r="O449" s="11"/>
      <c r="P449" s="12"/>
      <c r="Q449" s="27"/>
      <c r="R449" s="14"/>
      <c r="S449" s="28"/>
      <c r="T449" s="15"/>
      <c r="U449" s="16"/>
      <c r="V449" s="17"/>
      <c r="W449" s="17"/>
      <c r="X449" s="11"/>
      <c r="Y449" s="30"/>
      <c r="Z449" s="19"/>
      <c r="AA449" s="18"/>
      <c r="AB449" s="20"/>
      <c r="AC449" s="29"/>
    </row>
    <row r="450" spans="13:29" x14ac:dyDescent="0.25">
      <c r="M450" s="9"/>
      <c r="N450" s="10"/>
      <c r="O450" s="11"/>
      <c r="P450" s="12"/>
      <c r="Q450" s="27"/>
      <c r="R450" s="14"/>
      <c r="S450" s="28"/>
      <c r="T450" s="15"/>
      <c r="U450" s="16"/>
      <c r="V450" s="17"/>
      <c r="W450" s="17"/>
      <c r="X450" s="11"/>
      <c r="Y450" s="30"/>
      <c r="Z450" s="19"/>
      <c r="AA450" s="18"/>
      <c r="AB450" s="20"/>
      <c r="AC450" s="29"/>
    </row>
    <row r="451" spans="13:29" x14ac:dyDescent="0.25">
      <c r="M451" s="9"/>
      <c r="N451" s="10"/>
      <c r="O451" s="11"/>
      <c r="P451" s="12"/>
      <c r="Q451" s="27"/>
      <c r="R451" s="14"/>
      <c r="S451" s="28"/>
      <c r="T451" s="15"/>
      <c r="U451" s="16"/>
      <c r="V451" s="17"/>
      <c r="W451" s="17"/>
      <c r="X451" s="11"/>
      <c r="Y451" s="30"/>
      <c r="Z451" s="19"/>
      <c r="AA451" s="18"/>
      <c r="AB451" s="20"/>
      <c r="AC451" s="29"/>
    </row>
    <row r="452" spans="13:29" x14ac:dyDescent="0.25">
      <c r="M452" s="9"/>
      <c r="N452" s="10"/>
      <c r="O452" s="11"/>
      <c r="P452" s="12"/>
      <c r="Q452" s="27"/>
      <c r="R452" s="14"/>
      <c r="S452" s="28"/>
      <c r="T452" s="15"/>
      <c r="U452" s="16"/>
      <c r="V452" s="17"/>
      <c r="W452" s="17"/>
      <c r="X452" s="11"/>
      <c r="Y452" s="30"/>
      <c r="Z452" s="19"/>
      <c r="AA452" s="18"/>
      <c r="AB452" s="20"/>
      <c r="AC452" s="29"/>
    </row>
    <row r="453" spans="13:29" x14ac:dyDescent="0.25">
      <c r="M453" s="9"/>
      <c r="N453" s="10"/>
      <c r="O453" s="11"/>
      <c r="P453" s="12"/>
      <c r="Q453" s="27"/>
      <c r="R453" s="14"/>
      <c r="S453" s="28"/>
      <c r="T453" s="15"/>
      <c r="U453" s="16"/>
      <c r="V453" s="17"/>
      <c r="W453" s="17"/>
      <c r="X453" s="11"/>
      <c r="Y453" s="30"/>
      <c r="Z453" s="19"/>
      <c r="AA453" s="18"/>
      <c r="AB453" s="20"/>
      <c r="AC453" s="29"/>
    </row>
    <row r="454" spans="13:29" x14ac:dyDescent="0.25">
      <c r="M454" s="9"/>
      <c r="N454" s="10"/>
      <c r="O454" s="11"/>
      <c r="P454" s="12"/>
      <c r="Q454" s="27"/>
      <c r="R454" s="14"/>
      <c r="S454" s="28"/>
      <c r="T454" s="15"/>
      <c r="U454" s="16"/>
      <c r="V454" s="17"/>
      <c r="W454" s="17"/>
      <c r="X454" s="11"/>
      <c r="Y454" s="30"/>
      <c r="Z454" s="19"/>
      <c r="AA454" s="18"/>
      <c r="AB454" s="20"/>
      <c r="AC454" s="29"/>
    </row>
    <row r="455" spans="13:29" x14ac:dyDescent="0.25">
      <c r="M455" s="9"/>
      <c r="N455" s="10"/>
      <c r="O455" s="11"/>
      <c r="P455" s="12"/>
      <c r="Q455" s="27"/>
      <c r="R455" s="14"/>
      <c r="S455" s="28"/>
      <c r="T455" s="15"/>
      <c r="U455" s="16"/>
      <c r="V455" s="17"/>
      <c r="W455" s="17"/>
      <c r="X455" s="11"/>
      <c r="Y455" s="30"/>
      <c r="Z455" s="19"/>
      <c r="AA455" s="18"/>
      <c r="AB455" s="20"/>
      <c r="AC455" s="29"/>
    </row>
    <row r="456" spans="13:29" x14ac:dyDescent="0.25">
      <c r="M456" s="9"/>
      <c r="N456" s="10"/>
      <c r="O456" s="11"/>
      <c r="P456" s="12"/>
      <c r="Q456" s="27"/>
      <c r="R456" s="14"/>
      <c r="S456" s="28"/>
      <c r="T456" s="15"/>
      <c r="U456" s="16"/>
      <c r="V456" s="17"/>
      <c r="W456" s="17"/>
      <c r="X456" s="11"/>
      <c r="Y456" s="30"/>
      <c r="Z456" s="19"/>
      <c r="AA456" s="18"/>
      <c r="AB456" s="20"/>
      <c r="AC456" s="29"/>
    </row>
    <row r="457" spans="13:29" x14ac:dyDescent="0.25">
      <c r="M457" s="9"/>
      <c r="N457" s="10"/>
      <c r="O457" s="11"/>
      <c r="P457" s="12"/>
      <c r="Q457" s="27"/>
      <c r="R457" s="14"/>
      <c r="S457" s="28"/>
      <c r="T457" s="15"/>
      <c r="U457" s="16"/>
      <c r="V457" s="17"/>
      <c r="W457" s="17"/>
      <c r="X457" s="11"/>
      <c r="Y457" s="30"/>
      <c r="Z457" s="19"/>
      <c r="AA457" s="18"/>
      <c r="AB457" s="20"/>
      <c r="AC457" s="29"/>
    </row>
    <row r="458" spans="13:29" x14ac:dyDescent="0.25">
      <c r="M458" s="9"/>
      <c r="N458" s="10"/>
      <c r="O458" s="11"/>
      <c r="P458" s="12"/>
      <c r="Q458" s="27"/>
      <c r="R458" s="14"/>
      <c r="S458" s="28"/>
      <c r="T458" s="15"/>
      <c r="U458" s="16"/>
      <c r="V458" s="17"/>
      <c r="W458" s="17"/>
      <c r="X458" s="11"/>
      <c r="Y458" s="30"/>
      <c r="Z458" s="19"/>
      <c r="AA458" s="18"/>
      <c r="AB458" s="20"/>
      <c r="AC458" s="29"/>
    </row>
    <row r="459" spans="13:29" x14ac:dyDescent="0.25">
      <c r="M459" s="9"/>
      <c r="N459" s="10"/>
      <c r="O459" s="11"/>
      <c r="P459" s="12"/>
      <c r="Q459" s="27"/>
      <c r="R459" s="14"/>
      <c r="S459" s="28"/>
      <c r="T459" s="15"/>
      <c r="U459" s="16"/>
      <c r="V459" s="17"/>
      <c r="W459" s="17"/>
      <c r="X459" s="11"/>
      <c r="Y459" s="30"/>
      <c r="Z459" s="19"/>
      <c r="AA459" s="18"/>
      <c r="AB459" s="20"/>
      <c r="AC459" s="29"/>
    </row>
    <row r="460" spans="13:29" x14ac:dyDescent="0.25">
      <c r="M460" s="9"/>
      <c r="N460" s="10"/>
      <c r="O460" s="11"/>
      <c r="P460" s="12"/>
      <c r="Q460" s="27"/>
      <c r="R460" s="14"/>
      <c r="S460" s="28"/>
      <c r="T460" s="15"/>
      <c r="U460" s="16"/>
      <c r="V460" s="17"/>
      <c r="W460" s="17"/>
      <c r="X460" s="11"/>
      <c r="Y460" s="30"/>
      <c r="Z460" s="19"/>
      <c r="AA460" s="18"/>
      <c r="AB460" s="20"/>
      <c r="AC460" s="29"/>
    </row>
    <row r="461" spans="13:29" x14ac:dyDescent="0.25">
      <c r="M461" s="9"/>
      <c r="N461" s="10"/>
      <c r="O461" s="11"/>
      <c r="P461" s="12"/>
      <c r="Q461" s="27"/>
      <c r="R461" s="14"/>
      <c r="S461" s="28"/>
      <c r="T461" s="15"/>
      <c r="U461" s="16"/>
      <c r="V461" s="17"/>
      <c r="W461" s="17"/>
      <c r="X461" s="11"/>
      <c r="Y461" s="30"/>
      <c r="Z461" s="19"/>
      <c r="AA461" s="18"/>
      <c r="AB461" s="20"/>
      <c r="AC461" s="29"/>
    </row>
    <row r="462" spans="13:29" x14ac:dyDescent="0.25">
      <c r="M462" s="9"/>
      <c r="N462" s="10"/>
      <c r="O462" s="11"/>
      <c r="P462" s="12"/>
      <c r="Q462" s="27"/>
      <c r="R462" s="14"/>
      <c r="S462" s="28"/>
      <c r="T462" s="15"/>
      <c r="U462" s="16"/>
      <c r="V462" s="17"/>
      <c r="W462" s="17"/>
      <c r="X462" s="11"/>
      <c r="Y462" s="30"/>
      <c r="Z462" s="19"/>
      <c r="AA462" s="18"/>
      <c r="AB462" s="20"/>
      <c r="AC462" s="29"/>
    </row>
    <row r="463" spans="13:29" x14ac:dyDescent="0.25">
      <c r="M463" s="9"/>
      <c r="N463" s="10"/>
      <c r="O463" s="11"/>
      <c r="P463" s="12"/>
      <c r="Q463" s="27"/>
      <c r="R463" s="14"/>
      <c r="S463" s="28"/>
      <c r="T463" s="15"/>
      <c r="U463" s="16"/>
      <c r="V463" s="17"/>
      <c r="W463" s="17"/>
      <c r="X463" s="11"/>
      <c r="Y463" s="30"/>
      <c r="Z463" s="19"/>
      <c r="AA463" s="18"/>
      <c r="AB463" s="20"/>
      <c r="AC463" s="29"/>
    </row>
    <row r="464" spans="13:29" x14ac:dyDescent="0.25">
      <c r="M464" s="9"/>
      <c r="N464" s="10"/>
      <c r="O464" s="11"/>
      <c r="P464" s="12"/>
      <c r="Q464" s="27"/>
      <c r="R464" s="14"/>
      <c r="S464" s="28"/>
      <c r="T464" s="15"/>
      <c r="U464" s="16"/>
      <c r="V464" s="17"/>
      <c r="W464" s="17"/>
      <c r="X464" s="11"/>
      <c r="Y464" s="30"/>
      <c r="Z464" s="19"/>
      <c r="AA464" s="18"/>
      <c r="AB464" s="20"/>
      <c r="AC464" s="29"/>
    </row>
    <row r="465" spans="13:29" x14ac:dyDescent="0.25">
      <c r="M465" s="9"/>
      <c r="N465" s="10"/>
      <c r="O465" s="11"/>
      <c r="P465" s="12"/>
      <c r="Q465" s="27"/>
      <c r="R465" s="14"/>
      <c r="S465" s="28"/>
      <c r="T465" s="15"/>
      <c r="U465" s="16"/>
      <c r="V465" s="17"/>
      <c r="W465" s="17"/>
      <c r="X465" s="11"/>
      <c r="Y465" s="30"/>
      <c r="Z465" s="19"/>
      <c r="AA465" s="18"/>
      <c r="AB465" s="20"/>
      <c r="AC465" s="29"/>
    </row>
    <row r="466" spans="13:29" x14ac:dyDescent="0.25">
      <c r="M466" s="9"/>
      <c r="N466" s="10"/>
      <c r="O466" s="11"/>
      <c r="P466" s="12"/>
      <c r="Q466" s="27"/>
      <c r="R466" s="14"/>
      <c r="S466" s="28"/>
      <c r="T466" s="15"/>
      <c r="U466" s="16"/>
      <c r="V466" s="17"/>
      <c r="W466" s="17"/>
      <c r="X466" s="11"/>
      <c r="Y466" s="30"/>
      <c r="Z466" s="19"/>
      <c r="AA466" s="18"/>
      <c r="AB466" s="20"/>
      <c r="AC466" s="29"/>
    </row>
    <row r="467" spans="13:29" x14ac:dyDescent="0.25">
      <c r="M467" s="9"/>
      <c r="N467" s="10"/>
      <c r="O467" s="11"/>
      <c r="P467" s="12"/>
      <c r="Q467" s="27"/>
      <c r="R467" s="14"/>
      <c r="S467" s="28"/>
      <c r="T467" s="15"/>
      <c r="U467" s="16"/>
      <c r="V467" s="17"/>
      <c r="W467" s="17"/>
      <c r="X467" s="11"/>
      <c r="Y467" s="30"/>
      <c r="Z467" s="19"/>
      <c r="AA467" s="18"/>
      <c r="AB467" s="20"/>
      <c r="AC467" s="29"/>
    </row>
    <row r="468" spans="13:29" x14ac:dyDescent="0.25">
      <c r="M468" s="9"/>
      <c r="N468" s="10"/>
      <c r="O468" s="11"/>
      <c r="P468" s="12"/>
      <c r="Q468" s="27"/>
      <c r="R468" s="14"/>
      <c r="S468" s="28"/>
      <c r="T468" s="15"/>
      <c r="U468" s="16"/>
      <c r="V468" s="17"/>
      <c r="W468" s="17"/>
      <c r="X468" s="11"/>
      <c r="Y468" s="30"/>
      <c r="Z468" s="19"/>
      <c r="AA468" s="18"/>
      <c r="AB468" s="20"/>
      <c r="AC468" s="29"/>
    </row>
    <row r="469" spans="13:29" x14ac:dyDescent="0.25">
      <c r="M469" s="9"/>
      <c r="N469" s="10"/>
      <c r="O469" s="11"/>
      <c r="P469" s="12"/>
      <c r="Q469" s="27"/>
      <c r="R469" s="14"/>
      <c r="S469" s="28"/>
      <c r="T469" s="15"/>
      <c r="U469" s="16"/>
      <c r="V469" s="17"/>
      <c r="W469" s="17"/>
      <c r="X469" s="11"/>
      <c r="Y469" s="30"/>
      <c r="Z469" s="19"/>
      <c r="AA469" s="18"/>
      <c r="AB469" s="20"/>
      <c r="AC469" s="29"/>
    </row>
    <row r="470" spans="13:29" x14ac:dyDescent="0.25">
      <c r="M470" s="9"/>
      <c r="N470" s="10"/>
      <c r="O470" s="11"/>
      <c r="P470" s="12"/>
      <c r="Q470" s="27"/>
      <c r="R470" s="14"/>
      <c r="S470" s="28"/>
      <c r="T470" s="15"/>
      <c r="U470" s="16"/>
      <c r="V470" s="17"/>
      <c r="W470" s="17"/>
      <c r="X470" s="11"/>
      <c r="Y470" s="30"/>
      <c r="Z470" s="19"/>
      <c r="AA470" s="18"/>
      <c r="AB470" s="20"/>
      <c r="AC470" s="29"/>
    </row>
    <row r="471" spans="13:29" x14ac:dyDescent="0.25">
      <c r="M471" s="9"/>
      <c r="N471" s="10"/>
      <c r="O471" s="11"/>
      <c r="P471" s="12"/>
      <c r="Q471" s="27"/>
      <c r="R471" s="14"/>
      <c r="S471" s="28"/>
      <c r="T471" s="15"/>
      <c r="U471" s="16"/>
      <c r="V471" s="17"/>
      <c r="W471" s="17"/>
      <c r="X471" s="11"/>
      <c r="Y471" s="30"/>
      <c r="Z471" s="19"/>
      <c r="AA471" s="18"/>
      <c r="AB471" s="20"/>
      <c r="AC471" s="29"/>
    </row>
    <row r="472" spans="13:29" x14ac:dyDescent="0.25">
      <c r="M472" s="9"/>
      <c r="N472" s="10"/>
      <c r="O472" s="11"/>
      <c r="P472" s="12"/>
      <c r="Q472" s="27"/>
      <c r="R472" s="14"/>
      <c r="S472" s="28"/>
      <c r="T472" s="15"/>
      <c r="U472" s="16"/>
      <c r="V472" s="17"/>
      <c r="W472" s="17"/>
      <c r="X472" s="11"/>
      <c r="Y472" s="30"/>
      <c r="Z472" s="19"/>
      <c r="AA472" s="18"/>
      <c r="AB472" s="20"/>
      <c r="AC472" s="29"/>
    </row>
    <row r="473" spans="13:29" x14ac:dyDescent="0.25">
      <c r="M473" s="9"/>
      <c r="N473" s="10"/>
      <c r="O473" s="11"/>
      <c r="P473" s="12"/>
      <c r="Q473" s="27"/>
      <c r="R473" s="14"/>
      <c r="S473" s="28"/>
      <c r="T473" s="15"/>
      <c r="U473" s="16"/>
      <c r="V473" s="17"/>
      <c r="W473" s="17"/>
      <c r="X473" s="11"/>
      <c r="Y473" s="30"/>
      <c r="Z473" s="19"/>
      <c r="AA473" s="18"/>
      <c r="AB473" s="20"/>
      <c r="AC473" s="29"/>
    </row>
    <row r="474" spans="13:29" x14ac:dyDescent="0.25">
      <c r="M474" s="9"/>
      <c r="N474" s="10"/>
      <c r="O474" s="11"/>
      <c r="P474" s="12"/>
      <c r="Q474" s="27"/>
      <c r="R474" s="14"/>
      <c r="S474" s="28"/>
      <c r="T474" s="15"/>
      <c r="U474" s="16"/>
      <c r="V474" s="17"/>
      <c r="W474" s="17"/>
      <c r="X474" s="11"/>
      <c r="Y474" s="30"/>
      <c r="Z474" s="19"/>
      <c r="AA474" s="18"/>
      <c r="AB474" s="20"/>
      <c r="AC474" s="29"/>
    </row>
    <row r="475" spans="13:29" x14ac:dyDescent="0.25">
      <c r="M475" s="9"/>
      <c r="N475" s="10"/>
      <c r="O475" s="11"/>
      <c r="P475" s="12"/>
      <c r="Q475" s="27"/>
      <c r="R475" s="14"/>
      <c r="S475" s="28"/>
      <c r="T475" s="15"/>
      <c r="U475" s="16"/>
      <c r="V475" s="17"/>
      <c r="W475" s="17"/>
      <c r="X475" s="11"/>
      <c r="Y475" s="30"/>
      <c r="Z475" s="19"/>
      <c r="AA475" s="18"/>
      <c r="AB475" s="20"/>
      <c r="AC475" s="29"/>
    </row>
    <row r="476" spans="13:29" x14ac:dyDescent="0.25">
      <c r="M476" s="9"/>
      <c r="N476" s="10"/>
      <c r="O476" s="11"/>
      <c r="P476" s="12"/>
      <c r="Q476" s="27"/>
      <c r="R476" s="14"/>
      <c r="S476" s="28"/>
      <c r="T476" s="15"/>
      <c r="U476" s="16"/>
      <c r="V476" s="17"/>
      <c r="W476" s="17"/>
      <c r="X476" s="11"/>
      <c r="Y476" s="30"/>
      <c r="Z476" s="19"/>
      <c r="AA476" s="18"/>
      <c r="AB476" s="20"/>
      <c r="AC476" s="29"/>
    </row>
    <row r="477" spans="13:29" x14ac:dyDescent="0.25">
      <c r="M477" s="9"/>
      <c r="N477" s="10"/>
      <c r="O477" s="11"/>
      <c r="P477" s="12"/>
      <c r="Q477" s="27"/>
      <c r="R477" s="14"/>
      <c r="S477" s="28"/>
      <c r="T477" s="15"/>
      <c r="U477" s="16"/>
      <c r="V477" s="17"/>
      <c r="W477" s="17"/>
      <c r="X477" s="11"/>
      <c r="Y477" s="30"/>
      <c r="Z477" s="19"/>
      <c r="AA477" s="18"/>
      <c r="AB477" s="20"/>
      <c r="AC477" s="29"/>
    </row>
    <row r="478" spans="13:29" x14ac:dyDescent="0.25">
      <c r="M478" s="9"/>
      <c r="N478" s="10"/>
      <c r="O478" s="11"/>
      <c r="P478" s="12"/>
      <c r="Q478" s="27"/>
      <c r="R478" s="14"/>
      <c r="S478" s="28"/>
      <c r="T478" s="15"/>
      <c r="U478" s="16"/>
      <c r="V478" s="17"/>
      <c r="W478" s="17"/>
      <c r="X478" s="11"/>
      <c r="Y478" s="30"/>
      <c r="Z478" s="19"/>
      <c r="AA478" s="18"/>
      <c r="AB478" s="20"/>
      <c r="AC478" s="29"/>
    </row>
    <row r="479" spans="13:29" x14ac:dyDescent="0.25">
      <c r="M479" s="9"/>
      <c r="N479" s="10"/>
      <c r="O479" s="11"/>
      <c r="P479" s="12"/>
      <c r="Q479" s="27"/>
      <c r="R479" s="14"/>
      <c r="S479" s="28"/>
      <c r="T479" s="15"/>
      <c r="U479" s="16"/>
      <c r="V479" s="17"/>
      <c r="W479" s="17"/>
      <c r="X479" s="11"/>
      <c r="Y479" s="30"/>
      <c r="Z479" s="19"/>
      <c r="AA479" s="18"/>
      <c r="AB479" s="20"/>
      <c r="AC479" s="29"/>
    </row>
    <row r="480" spans="13:29" x14ac:dyDescent="0.25">
      <c r="M480" s="9"/>
      <c r="N480" s="10"/>
      <c r="O480" s="11"/>
      <c r="P480" s="12"/>
      <c r="Q480" s="27"/>
      <c r="R480" s="14"/>
      <c r="S480" s="28"/>
      <c r="T480" s="15"/>
      <c r="U480" s="16"/>
      <c r="V480" s="17"/>
      <c r="W480" s="17"/>
      <c r="X480" s="11"/>
      <c r="Y480" s="30"/>
      <c r="Z480" s="19"/>
      <c r="AA480" s="18"/>
      <c r="AB480" s="20"/>
      <c r="AC480" s="29"/>
    </row>
    <row r="481" spans="13:29" x14ac:dyDescent="0.25">
      <c r="M481" s="9"/>
      <c r="N481" s="10"/>
      <c r="O481" s="11"/>
      <c r="P481" s="12"/>
      <c r="Q481" s="27"/>
      <c r="R481" s="14"/>
      <c r="S481" s="28"/>
      <c r="T481" s="15"/>
      <c r="U481" s="16"/>
      <c r="V481" s="17"/>
      <c r="W481" s="17"/>
      <c r="X481" s="11"/>
      <c r="Y481" s="30"/>
      <c r="Z481" s="19"/>
      <c r="AA481" s="18"/>
      <c r="AB481" s="20"/>
      <c r="AC481" s="29"/>
    </row>
    <row r="482" spans="13:29" x14ac:dyDescent="0.25">
      <c r="M482" s="9"/>
      <c r="N482" s="10"/>
      <c r="O482" s="11"/>
      <c r="P482" s="12"/>
      <c r="Q482" s="27"/>
      <c r="R482" s="14"/>
      <c r="S482" s="28"/>
      <c r="T482" s="15"/>
      <c r="U482" s="16"/>
      <c r="V482" s="17"/>
      <c r="W482" s="17"/>
      <c r="X482" s="11"/>
      <c r="Y482" s="30"/>
      <c r="Z482" s="19"/>
      <c r="AA482" s="18"/>
      <c r="AB482" s="20"/>
      <c r="AC482" s="29"/>
    </row>
    <row r="483" spans="13:29" x14ac:dyDescent="0.25">
      <c r="M483" s="9"/>
      <c r="N483" s="10"/>
      <c r="O483" s="11"/>
      <c r="P483" s="12"/>
      <c r="Q483" s="27"/>
      <c r="R483" s="14"/>
      <c r="S483" s="28"/>
      <c r="T483" s="15"/>
      <c r="U483" s="16"/>
      <c r="V483" s="17"/>
      <c r="W483" s="17"/>
      <c r="X483" s="11"/>
      <c r="Y483" s="30"/>
      <c r="Z483" s="19"/>
      <c r="AA483" s="18"/>
      <c r="AB483" s="20"/>
      <c r="AC483" s="29"/>
    </row>
    <row r="484" spans="13:29" x14ac:dyDescent="0.25">
      <c r="M484" s="9"/>
      <c r="N484" s="10"/>
      <c r="O484" s="11"/>
      <c r="P484" s="12"/>
      <c r="Q484" s="27"/>
      <c r="R484" s="14"/>
      <c r="S484" s="28"/>
      <c r="T484" s="15"/>
      <c r="U484" s="16"/>
      <c r="V484" s="17"/>
      <c r="W484" s="17"/>
      <c r="X484" s="11"/>
      <c r="Y484" s="30"/>
      <c r="Z484" s="19"/>
      <c r="AA484" s="18"/>
      <c r="AB484" s="20"/>
      <c r="AC484" s="29"/>
    </row>
    <row r="485" spans="13:29" x14ac:dyDescent="0.25">
      <c r="M485" s="9"/>
      <c r="N485" s="10"/>
      <c r="O485" s="11"/>
      <c r="P485" s="12"/>
      <c r="Q485" s="27"/>
      <c r="R485" s="14"/>
      <c r="S485" s="28"/>
      <c r="T485" s="15"/>
      <c r="U485" s="16"/>
      <c r="V485" s="17"/>
      <c r="W485" s="17"/>
      <c r="X485" s="11"/>
      <c r="Y485" s="30"/>
      <c r="Z485" s="19"/>
      <c r="AA485" s="18"/>
      <c r="AB485" s="20"/>
      <c r="AC485" s="29"/>
    </row>
    <row r="486" spans="13:29" x14ac:dyDescent="0.25">
      <c r="M486" s="9"/>
      <c r="N486" s="10"/>
      <c r="O486" s="11"/>
      <c r="P486" s="12"/>
      <c r="Q486" s="27"/>
      <c r="R486" s="14"/>
      <c r="S486" s="28"/>
      <c r="T486" s="15"/>
      <c r="U486" s="16"/>
      <c r="V486" s="17"/>
      <c r="W486" s="17"/>
      <c r="X486" s="11"/>
      <c r="Y486" s="30"/>
      <c r="Z486" s="19"/>
      <c r="AA486" s="18"/>
      <c r="AB486" s="20"/>
      <c r="AC486" s="29"/>
    </row>
    <row r="487" spans="13:29" x14ac:dyDescent="0.25">
      <c r="M487" s="9"/>
      <c r="N487" s="10"/>
      <c r="O487" s="11"/>
      <c r="P487" s="12"/>
      <c r="Q487" s="27"/>
      <c r="R487" s="14"/>
      <c r="S487" s="28"/>
      <c r="T487" s="15"/>
      <c r="U487" s="16"/>
      <c r="V487" s="17"/>
      <c r="W487" s="17"/>
      <c r="X487" s="11"/>
      <c r="Y487" s="30"/>
      <c r="Z487" s="19"/>
      <c r="AA487" s="18"/>
      <c r="AB487" s="20"/>
      <c r="AC487" s="29"/>
    </row>
    <row r="488" spans="13:29" x14ac:dyDescent="0.25">
      <c r="M488" s="9"/>
      <c r="N488" s="10"/>
      <c r="O488" s="11"/>
      <c r="P488" s="12"/>
      <c r="Q488" s="27"/>
      <c r="R488" s="14"/>
      <c r="S488" s="28"/>
      <c r="T488" s="15"/>
      <c r="U488" s="16"/>
      <c r="V488" s="17"/>
      <c r="W488" s="17"/>
      <c r="X488" s="11"/>
      <c r="Y488" s="30"/>
      <c r="Z488" s="19"/>
      <c r="AA488" s="18"/>
      <c r="AB488" s="20"/>
      <c r="AC488" s="29"/>
    </row>
    <row r="489" spans="13:29" x14ac:dyDescent="0.25">
      <c r="M489" s="9"/>
      <c r="N489" s="10"/>
      <c r="O489" s="11"/>
      <c r="P489" s="12"/>
      <c r="Q489" s="27"/>
      <c r="R489" s="14"/>
      <c r="S489" s="28"/>
      <c r="T489" s="15"/>
      <c r="U489" s="16"/>
      <c r="V489" s="17"/>
      <c r="W489" s="17"/>
      <c r="X489" s="11"/>
      <c r="Y489" s="30"/>
      <c r="Z489" s="19"/>
      <c r="AA489" s="18"/>
      <c r="AB489" s="20"/>
      <c r="AC489" s="29"/>
    </row>
    <row r="490" spans="13:29" x14ac:dyDescent="0.25">
      <c r="M490" s="9"/>
      <c r="N490" s="10"/>
      <c r="O490" s="11"/>
      <c r="P490" s="12"/>
      <c r="Q490" s="27"/>
      <c r="R490" s="14"/>
      <c r="S490" s="28"/>
      <c r="T490" s="15"/>
      <c r="U490" s="16"/>
      <c r="V490" s="17"/>
      <c r="W490" s="17"/>
      <c r="X490" s="11"/>
      <c r="Y490" s="30"/>
      <c r="Z490" s="19"/>
      <c r="AA490" s="18"/>
      <c r="AB490" s="20"/>
      <c r="AC490" s="29"/>
    </row>
    <row r="491" spans="13:29" x14ac:dyDescent="0.25">
      <c r="M491" s="9"/>
      <c r="N491" s="10"/>
      <c r="O491" s="11"/>
      <c r="P491" s="12"/>
      <c r="Q491" s="27"/>
      <c r="R491" s="14"/>
      <c r="S491" s="28"/>
      <c r="T491" s="15"/>
      <c r="U491" s="16"/>
      <c r="V491" s="17"/>
      <c r="W491" s="17"/>
      <c r="X491" s="11"/>
      <c r="Y491" s="30"/>
      <c r="Z491" s="19"/>
      <c r="AA491" s="18"/>
      <c r="AB491" s="20"/>
      <c r="AC491" s="29"/>
    </row>
    <row r="492" spans="13:29" x14ac:dyDescent="0.25">
      <c r="M492" s="9"/>
      <c r="N492" s="10"/>
      <c r="O492" s="11"/>
      <c r="P492" s="12"/>
      <c r="Q492" s="27"/>
      <c r="R492" s="14"/>
      <c r="S492" s="28"/>
      <c r="T492" s="15"/>
      <c r="U492" s="16"/>
      <c r="V492" s="17"/>
      <c r="W492" s="17"/>
      <c r="X492" s="11"/>
      <c r="Y492" s="30"/>
      <c r="Z492" s="19"/>
      <c r="AA492" s="18"/>
      <c r="AB492" s="20"/>
      <c r="AC492" s="29"/>
    </row>
    <row r="493" spans="13:29" x14ac:dyDescent="0.25">
      <c r="M493" s="9"/>
      <c r="N493" s="10"/>
      <c r="O493" s="11"/>
      <c r="P493" s="12"/>
      <c r="Q493" s="27"/>
      <c r="R493" s="14"/>
      <c r="S493" s="28"/>
      <c r="T493" s="15"/>
      <c r="U493" s="16"/>
      <c r="V493" s="17"/>
      <c r="W493" s="17"/>
      <c r="X493" s="11"/>
      <c r="Y493" s="30"/>
      <c r="Z493" s="19"/>
      <c r="AA493" s="18"/>
      <c r="AB493" s="20"/>
      <c r="AC493" s="29"/>
    </row>
    <row r="494" spans="13:29" x14ac:dyDescent="0.25">
      <c r="M494" s="9"/>
      <c r="N494" s="10"/>
      <c r="O494" s="11"/>
      <c r="P494" s="12"/>
      <c r="Q494" s="27"/>
      <c r="R494" s="14"/>
      <c r="S494" s="28"/>
      <c r="T494" s="15"/>
      <c r="U494" s="16"/>
      <c r="V494" s="17"/>
      <c r="W494" s="17"/>
      <c r="X494" s="11"/>
      <c r="Y494" s="30"/>
      <c r="Z494" s="19"/>
      <c r="AA494" s="18"/>
      <c r="AB494" s="20"/>
      <c r="AC494" s="29"/>
    </row>
    <row r="495" spans="13:29" x14ac:dyDescent="0.25">
      <c r="M495" s="9"/>
      <c r="N495" s="10"/>
      <c r="O495" s="11"/>
      <c r="P495" s="12"/>
      <c r="Q495" s="27"/>
      <c r="R495" s="14"/>
      <c r="S495" s="28"/>
      <c r="T495" s="15"/>
      <c r="U495" s="16"/>
      <c r="V495" s="17"/>
      <c r="W495" s="17"/>
      <c r="X495" s="11"/>
      <c r="Y495" s="30"/>
      <c r="Z495" s="19"/>
      <c r="AA495" s="18"/>
      <c r="AB495" s="20"/>
      <c r="AC495" s="29"/>
    </row>
    <row r="496" spans="13:29" x14ac:dyDescent="0.25">
      <c r="M496" s="9"/>
      <c r="N496" s="10"/>
      <c r="O496" s="11"/>
      <c r="P496" s="12"/>
      <c r="Q496" s="27"/>
      <c r="R496" s="14"/>
      <c r="S496" s="28"/>
      <c r="T496" s="15"/>
      <c r="U496" s="16"/>
      <c r="V496" s="17"/>
      <c r="W496" s="17"/>
      <c r="X496" s="11"/>
      <c r="Y496" s="30"/>
      <c r="Z496" s="19"/>
      <c r="AA496" s="18"/>
      <c r="AB496" s="20"/>
      <c r="AC496" s="29"/>
    </row>
    <row r="497" spans="13:29" x14ac:dyDescent="0.25">
      <c r="M497" s="9"/>
      <c r="N497" s="10"/>
      <c r="O497" s="11"/>
      <c r="P497" s="12"/>
      <c r="Q497" s="27"/>
      <c r="R497" s="14"/>
      <c r="S497" s="28"/>
      <c r="T497" s="15"/>
      <c r="U497" s="16"/>
      <c r="V497" s="17"/>
      <c r="W497" s="17"/>
      <c r="X497" s="11"/>
      <c r="Y497" s="30"/>
      <c r="Z497" s="19"/>
      <c r="AA497" s="18"/>
      <c r="AB497" s="20"/>
      <c r="AC497" s="29"/>
    </row>
    <row r="498" spans="13:29" x14ac:dyDescent="0.25">
      <c r="M498" s="9"/>
      <c r="N498" s="10"/>
      <c r="O498" s="11"/>
      <c r="P498" s="12"/>
      <c r="Q498" s="27"/>
      <c r="R498" s="37"/>
      <c r="S498" s="28"/>
      <c r="T498" s="15"/>
      <c r="U498" s="16"/>
      <c r="V498" s="17"/>
      <c r="W498" s="17"/>
      <c r="X498" s="11"/>
      <c r="Y498" s="30"/>
      <c r="Z498" s="19"/>
      <c r="AA498" s="18"/>
      <c r="AB498" s="20"/>
      <c r="AC498" s="29"/>
    </row>
    <row r="499" spans="13:29" x14ac:dyDescent="0.25">
      <c r="M499" s="9"/>
      <c r="N499" s="10"/>
      <c r="O499" s="11"/>
      <c r="P499" s="12"/>
      <c r="Q499" s="27"/>
      <c r="R499" s="14"/>
      <c r="S499" s="28"/>
      <c r="T499" s="15"/>
      <c r="U499" s="16"/>
      <c r="V499" s="17"/>
      <c r="W499" s="17"/>
      <c r="X499" s="11"/>
      <c r="Y499" s="30"/>
      <c r="Z499" s="19"/>
      <c r="AA499" s="18"/>
      <c r="AB499" s="20"/>
      <c r="AC499" s="29"/>
    </row>
    <row r="500" spans="13:29" x14ac:dyDescent="0.25">
      <c r="M500" s="9"/>
      <c r="N500" s="10"/>
      <c r="O500" s="11"/>
      <c r="P500" s="12"/>
      <c r="Q500" s="27"/>
      <c r="R500" s="14"/>
      <c r="S500" s="28"/>
      <c r="T500" s="15"/>
      <c r="U500" s="16"/>
      <c r="V500" s="17"/>
      <c r="W500" s="17"/>
      <c r="X500" s="11"/>
      <c r="Y500" s="30"/>
      <c r="Z500" s="19"/>
      <c r="AA500" s="18"/>
      <c r="AB500" s="20"/>
      <c r="AC500" s="29"/>
    </row>
    <row r="501" spans="13:29" x14ac:dyDescent="0.25">
      <c r="M501" s="9"/>
      <c r="N501" s="10"/>
      <c r="O501" s="11"/>
      <c r="P501" s="12"/>
      <c r="Q501" s="27"/>
      <c r="R501" s="14"/>
      <c r="S501" s="28"/>
      <c r="T501" s="15"/>
      <c r="U501" s="16"/>
      <c r="V501" s="17"/>
      <c r="W501" s="17"/>
      <c r="X501" s="11"/>
      <c r="Y501" s="30"/>
      <c r="Z501" s="19"/>
      <c r="AA501" s="18"/>
      <c r="AB501" s="20"/>
      <c r="AC501" s="29"/>
    </row>
    <row r="502" spans="13:29" x14ac:dyDescent="0.25">
      <c r="M502" s="9"/>
      <c r="N502" s="10"/>
      <c r="O502" s="11"/>
      <c r="P502" s="12"/>
      <c r="Q502" s="27"/>
      <c r="R502" s="14"/>
      <c r="S502" s="28"/>
      <c r="T502" s="15"/>
      <c r="U502" s="16"/>
      <c r="V502" s="17"/>
      <c r="W502" s="17"/>
      <c r="X502" s="11"/>
      <c r="Y502" s="30"/>
      <c r="Z502" s="19"/>
      <c r="AA502" s="18"/>
      <c r="AB502" s="20"/>
      <c r="AC502" s="29"/>
    </row>
    <row r="503" spans="13:29" x14ac:dyDescent="0.25">
      <c r="M503" s="9"/>
      <c r="N503" s="10"/>
      <c r="O503" s="11"/>
      <c r="P503" s="12"/>
      <c r="Q503" s="27"/>
      <c r="R503" s="14"/>
      <c r="S503" s="28"/>
      <c r="T503" s="15"/>
      <c r="U503" s="16"/>
      <c r="V503" s="17"/>
      <c r="W503" s="17"/>
      <c r="X503" s="11"/>
      <c r="Y503" s="30"/>
      <c r="Z503" s="19"/>
      <c r="AA503" s="18"/>
      <c r="AB503" s="20"/>
      <c r="AC503" s="29"/>
    </row>
    <row r="504" spans="13:29" x14ac:dyDescent="0.25">
      <c r="M504" s="9"/>
      <c r="N504" s="10"/>
      <c r="O504" s="11"/>
      <c r="P504" s="12"/>
      <c r="Q504" s="27"/>
      <c r="R504" s="37"/>
      <c r="S504" s="28"/>
      <c r="T504" s="15"/>
      <c r="U504" s="16"/>
      <c r="V504" s="17"/>
      <c r="W504" s="17"/>
      <c r="X504" s="11"/>
      <c r="Y504" s="30"/>
      <c r="Z504" s="19"/>
      <c r="AA504" s="18"/>
      <c r="AB504" s="20"/>
      <c r="AC504" s="29"/>
    </row>
    <row r="505" spans="13:29" x14ac:dyDescent="0.25">
      <c r="M505" s="9"/>
      <c r="N505" s="10"/>
      <c r="O505" s="11"/>
      <c r="P505" s="12"/>
      <c r="Q505" s="27"/>
      <c r="R505" s="14"/>
      <c r="S505" s="28"/>
      <c r="T505" s="15"/>
      <c r="U505" s="16"/>
      <c r="V505" s="17"/>
      <c r="W505" s="17"/>
      <c r="X505" s="11"/>
      <c r="Y505" s="30"/>
      <c r="Z505" s="19"/>
      <c r="AA505" s="18"/>
      <c r="AB505" s="20"/>
      <c r="AC505" s="29"/>
    </row>
    <row r="506" spans="13:29" x14ac:dyDescent="0.25">
      <c r="M506" s="9"/>
      <c r="N506" s="10"/>
      <c r="O506" s="11"/>
      <c r="P506" s="12"/>
      <c r="Q506" s="27"/>
      <c r="R506" s="14"/>
      <c r="S506" s="28"/>
      <c r="T506" s="15"/>
      <c r="U506" s="16"/>
      <c r="V506" s="17"/>
      <c r="W506" s="17"/>
      <c r="X506" s="11"/>
      <c r="Y506" s="30"/>
      <c r="Z506" s="19"/>
      <c r="AA506" s="18"/>
      <c r="AB506" s="20"/>
      <c r="AC506" s="29"/>
    </row>
    <row r="507" spans="13:29" x14ac:dyDescent="0.25">
      <c r="M507" s="9"/>
      <c r="N507" s="10"/>
      <c r="O507" s="11"/>
      <c r="P507" s="12"/>
      <c r="Q507" s="27"/>
      <c r="R507" s="14"/>
      <c r="S507" s="28"/>
      <c r="T507" s="15"/>
      <c r="U507" s="16"/>
      <c r="V507" s="17"/>
      <c r="W507" s="17"/>
      <c r="X507" s="11"/>
      <c r="Y507" s="30"/>
      <c r="Z507" s="19"/>
      <c r="AA507" s="18"/>
      <c r="AB507" s="20"/>
      <c r="AC507" s="29"/>
    </row>
    <row r="508" spans="13:29" x14ac:dyDescent="0.25">
      <c r="M508" s="9"/>
      <c r="N508" s="10"/>
      <c r="O508" s="11"/>
      <c r="P508" s="12"/>
      <c r="Q508" s="27"/>
      <c r="R508" s="14"/>
      <c r="S508" s="28"/>
      <c r="T508" s="15"/>
      <c r="U508" s="16"/>
      <c r="V508" s="17"/>
      <c r="W508" s="17"/>
      <c r="X508" s="11"/>
      <c r="Y508" s="30"/>
      <c r="Z508" s="19"/>
      <c r="AA508" s="18"/>
      <c r="AB508" s="20"/>
      <c r="AC508" s="29"/>
    </row>
    <row r="509" spans="13:29" x14ac:dyDescent="0.25">
      <c r="M509" s="9"/>
      <c r="N509" s="10"/>
      <c r="O509" s="11"/>
      <c r="P509" s="12"/>
      <c r="Q509" s="27"/>
      <c r="R509" s="14"/>
      <c r="S509" s="28"/>
      <c r="T509" s="15"/>
      <c r="U509" s="16"/>
      <c r="V509" s="17"/>
      <c r="W509" s="17"/>
      <c r="X509" s="11"/>
      <c r="Y509" s="30"/>
      <c r="Z509" s="19"/>
      <c r="AA509" s="18"/>
      <c r="AB509" s="20"/>
      <c r="AC509" s="29"/>
    </row>
    <row r="510" spans="13:29" x14ac:dyDescent="0.25">
      <c r="M510" s="9"/>
      <c r="N510" s="10"/>
      <c r="O510" s="11"/>
      <c r="P510" s="12"/>
      <c r="Q510" s="27"/>
      <c r="R510" s="14"/>
      <c r="S510" s="28"/>
      <c r="T510" s="15"/>
      <c r="U510" s="16"/>
      <c r="V510" s="17"/>
      <c r="W510" s="17"/>
      <c r="X510" s="11"/>
      <c r="Y510" s="30"/>
      <c r="Z510" s="19"/>
      <c r="AA510" s="18"/>
      <c r="AB510" s="20"/>
      <c r="AC510" s="29"/>
    </row>
    <row r="511" spans="13:29" x14ac:dyDescent="0.25">
      <c r="M511" s="9"/>
      <c r="N511" s="10"/>
      <c r="O511" s="11"/>
      <c r="P511" s="12"/>
      <c r="Q511" s="27"/>
      <c r="R511" s="14"/>
      <c r="S511" s="28"/>
      <c r="T511" s="15"/>
      <c r="U511" s="16"/>
      <c r="V511" s="17"/>
      <c r="W511" s="17"/>
      <c r="X511" s="11"/>
      <c r="Y511" s="30"/>
      <c r="Z511" s="19"/>
      <c r="AA511" s="18"/>
      <c r="AB511" s="20"/>
      <c r="AC511" s="29"/>
    </row>
    <row r="512" spans="13:29" x14ac:dyDescent="0.25">
      <c r="M512" s="9"/>
      <c r="N512" s="10"/>
      <c r="O512" s="11"/>
      <c r="P512" s="12"/>
      <c r="Q512" s="27"/>
      <c r="R512" s="14"/>
      <c r="S512" s="28"/>
      <c r="T512" s="15"/>
      <c r="U512" s="16"/>
      <c r="V512" s="17"/>
      <c r="W512" s="17"/>
      <c r="X512" s="11"/>
      <c r="Y512" s="30"/>
      <c r="Z512" s="19"/>
      <c r="AA512" s="18"/>
      <c r="AB512" s="20"/>
      <c r="AC512" s="29"/>
    </row>
    <row r="513" spans="13:29" x14ac:dyDescent="0.25">
      <c r="M513" s="9"/>
      <c r="N513" s="10"/>
      <c r="O513" s="11"/>
      <c r="P513" s="12"/>
      <c r="Q513" s="27"/>
      <c r="R513" s="14"/>
      <c r="S513" s="28"/>
      <c r="T513" s="15"/>
      <c r="U513" s="16"/>
      <c r="V513" s="17"/>
      <c r="W513" s="17"/>
      <c r="X513" s="11"/>
      <c r="Y513" s="30"/>
      <c r="Z513" s="19"/>
      <c r="AA513" s="18"/>
      <c r="AB513" s="20"/>
      <c r="AC513" s="29"/>
    </row>
    <row r="514" spans="13:29" x14ac:dyDescent="0.25">
      <c r="M514" s="9"/>
      <c r="N514" s="10"/>
      <c r="O514" s="11"/>
      <c r="P514" s="12"/>
      <c r="Q514" s="27"/>
      <c r="R514" s="14"/>
      <c r="S514" s="28"/>
      <c r="T514" s="15"/>
      <c r="U514" s="16"/>
      <c r="V514" s="17"/>
      <c r="W514" s="17"/>
      <c r="X514" s="11"/>
      <c r="Y514" s="30"/>
      <c r="Z514" s="19"/>
      <c r="AA514" s="18"/>
      <c r="AB514" s="20"/>
      <c r="AC514" s="29"/>
    </row>
    <row r="515" spans="13:29" x14ac:dyDescent="0.25">
      <c r="M515" s="9"/>
      <c r="N515" s="10"/>
      <c r="O515" s="11"/>
      <c r="P515" s="12"/>
      <c r="Q515" s="27"/>
      <c r="R515" s="14"/>
      <c r="S515" s="28"/>
      <c r="T515" s="15"/>
      <c r="U515" s="16"/>
      <c r="V515" s="17"/>
      <c r="W515" s="17"/>
      <c r="X515" s="11"/>
      <c r="Y515" s="30"/>
      <c r="Z515" s="19"/>
      <c r="AA515" s="18"/>
      <c r="AB515" s="20"/>
      <c r="AC515" s="29"/>
    </row>
    <row r="516" spans="13:29" x14ac:dyDescent="0.25">
      <c r="M516" s="9"/>
      <c r="N516" s="10"/>
      <c r="O516" s="11"/>
      <c r="P516" s="12"/>
      <c r="Q516" s="27"/>
      <c r="R516" s="14"/>
      <c r="S516" s="28"/>
      <c r="T516" s="15"/>
      <c r="U516" s="16"/>
      <c r="V516" s="17"/>
      <c r="W516" s="17"/>
      <c r="X516" s="11"/>
      <c r="Y516" s="30"/>
      <c r="Z516" s="19"/>
      <c r="AA516" s="18"/>
      <c r="AB516" s="20"/>
      <c r="AC516" s="29"/>
    </row>
    <row r="517" spans="13:29" x14ac:dyDescent="0.25">
      <c r="M517" s="9"/>
      <c r="N517" s="10"/>
      <c r="O517" s="11"/>
      <c r="P517" s="12"/>
      <c r="Q517" s="27"/>
      <c r="R517" s="14"/>
      <c r="S517" s="28"/>
      <c r="T517" s="15"/>
      <c r="U517" s="16"/>
      <c r="V517" s="17"/>
      <c r="W517" s="17"/>
      <c r="X517" s="11"/>
      <c r="Y517" s="30"/>
      <c r="Z517" s="19"/>
      <c r="AA517" s="18"/>
      <c r="AB517" s="20"/>
      <c r="AC517" s="29"/>
    </row>
    <row r="518" spans="13:29" x14ac:dyDescent="0.25">
      <c r="M518" s="9"/>
      <c r="N518" s="10"/>
      <c r="O518" s="11"/>
      <c r="P518" s="12"/>
      <c r="Q518" s="27"/>
      <c r="R518" s="14"/>
      <c r="S518" s="28"/>
      <c r="T518" s="15"/>
      <c r="U518" s="16"/>
      <c r="V518" s="17"/>
      <c r="W518" s="17"/>
      <c r="X518" s="11"/>
      <c r="Y518" s="30"/>
      <c r="Z518" s="19"/>
      <c r="AA518" s="18"/>
      <c r="AB518" s="20"/>
      <c r="AC518" s="29"/>
    </row>
    <row r="519" spans="13:29" x14ac:dyDescent="0.25">
      <c r="M519" s="9"/>
      <c r="N519" s="10"/>
      <c r="O519" s="11"/>
      <c r="P519" s="12"/>
      <c r="Q519" s="27"/>
      <c r="R519" s="14"/>
      <c r="S519" s="28"/>
      <c r="T519" s="15"/>
      <c r="U519" s="16"/>
      <c r="V519" s="17"/>
      <c r="W519" s="17"/>
      <c r="X519" s="11"/>
      <c r="Y519" s="30"/>
      <c r="Z519" s="19"/>
      <c r="AA519" s="18"/>
      <c r="AB519" s="20"/>
      <c r="AC519" s="29"/>
    </row>
    <row r="520" spans="13:29" x14ac:dyDescent="0.25">
      <c r="M520" s="9"/>
      <c r="N520" s="10"/>
      <c r="O520" s="11"/>
      <c r="P520" s="12"/>
      <c r="Q520" s="27"/>
      <c r="R520" s="14"/>
      <c r="S520" s="28"/>
      <c r="T520" s="15"/>
      <c r="U520" s="16"/>
      <c r="V520" s="17"/>
      <c r="W520" s="17"/>
      <c r="X520" s="11"/>
      <c r="Y520" s="30"/>
      <c r="Z520" s="19"/>
      <c r="AA520" s="18"/>
      <c r="AB520" s="20"/>
      <c r="AC520" s="29"/>
    </row>
    <row r="521" spans="13:29" x14ac:dyDescent="0.25">
      <c r="M521" s="9"/>
      <c r="N521" s="10"/>
      <c r="O521" s="11"/>
      <c r="P521" s="12"/>
      <c r="Q521" s="27"/>
      <c r="R521" s="14"/>
      <c r="S521" s="28"/>
      <c r="T521" s="15"/>
      <c r="U521" s="16"/>
      <c r="V521" s="17"/>
      <c r="W521" s="17"/>
      <c r="X521" s="11"/>
      <c r="Y521" s="30"/>
      <c r="Z521" s="19"/>
      <c r="AA521" s="18"/>
      <c r="AB521" s="20"/>
      <c r="AC521" s="29"/>
    </row>
    <row r="522" spans="13:29" x14ac:dyDescent="0.25">
      <c r="M522" s="9"/>
      <c r="N522" s="10"/>
      <c r="O522" s="11"/>
      <c r="P522" s="12"/>
      <c r="Q522" s="27"/>
      <c r="R522" s="14"/>
      <c r="S522" s="28"/>
      <c r="T522" s="15"/>
      <c r="U522" s="16"/>
      <c r="V522" s="17"/>
      <c r="W522" s="17"/>
      <c r="X522" s="11"/>
      <c r="Y522" s="30"/>
      <c r="Z522" s="19"/>
      <c r="AA522" s="18"/>
      <c r="AB522" s="20"/>
      <c r="AC522" s="29"/>
    </row>
    <row r="523" spans="13:29" x14ac:dyDescent="0.25">
      <c r="M523" s="9"/>
      <c r="N523" s="10"/>
      <c r="O523" s="11"/>
      <c r="P523" s="12"/>
      <c r="Q523" s="27"/>
      <c r="R523" s="37"/>
      <c r="S523" s="28"/>
      <c r="T523" s="15"/>
      <c r="U523" s="16"/>
      <c r="V523" s="17"/>
      <c r="W523" s="17"/>
      <c r="X523" s="11"/>
      <c r="Y523" s="30"/>
      <c r="Z523" s="19"/>
      <c r="AA523" s="18"/>
      <c r="AB523" s="20"/>
      <c r="AC523" s="29"/>
    </row>
    <row r="524" spans="13:29" x14ac:dyDescent="0.25">
      <c r="M524" s="9"/>
      <c r="N524" s="10"/>
      <c r="O524" s="11"/>
      <c r="P524" s="12"/>
      <c r="Q524" s="27"/>
      <c r="R524" s="38"/>
      <c r="S524" s="28"/>
      <c r="T524" s="15"/>
      <c r="U524" s="16"/>
      <c r="V524" s="17"/>
      <c r="W524" s="17"/>
      <c r="X524" s="11"/>
      <c r="Y524" s="30"/>
      <c r="Z524" s="19"/>
      <c r="AA524" s="18"/>
      <c r="AB524" s="20"/>
      <c r="AC524" s="29"/>
    </row>
    <row r="525" spans="13:29" x14ac:dyDescent="0.25">
      <c r="M525" s="9"/>
      <c r="N525" s="10"/>
      <c r="O525" s="11"/>
      <c r="P525" s="12"/>
      <c r="Q525" s="27"/>
      <c r="R525" s="14"/>
      <c r="S525" s="28"/>
      <c r="T525" s="15"/>
      <c r="U525" s="16"/>
      <c r="V525" s="17"/>
      <c r="W525" s="17"/>
      <c r="X525" s="11"/>
      <c r="Y525" s="30"/>
      <c r="Z525" s="19"/>
      <c r="AA525" s="18"/>
      <c r="AB525" s="20"/>
      <c r="AC525" s="29"/>
    </row>
    <row r="526" spans="13:29" x14ac:dyDescent="0.25">
      <c r="M526" s="9"/>
      <c r="N526" s="10"/>
      <c r="O526" s="11"/>
      <c r="P526" s="12"/>
      <c r="Q526" s="27"/>
      <c r="R526" s="14"/>
      <c r="S526" s="28"/>
      <c r="T526" s="15"/>
      <c r="U526" s="16"/>
      <c r="V526" s="17"/>
      <c r="W526" s="17"/>
      <c r="X526" s="11"/>
      <c r="Y526" s="30"/>
      <c r="Z526" s="19"/>
      <c r="AA526" s="18"/>
      <c r="AB526" s="20"/>
      <c r="AC526" s="29"/>
    </row>
    <row r="527" spans="13:29" x14ac:dyDescent="0.25">
      <c r="M527" s="9"/>
      <c r="N527" s="10"/>
      <c r="O527" s="11"/>
      <c r="P527" s="12"/>
      <c r="Q527" s="27"/>
      <c r="R527" s="14"/>
      <c r="S527" s="28"/>
      <c r="T527" s="15"/>
      <c r="U527" s="16"/>
      <c r="V527" s="17"/>
      <c r="W527" s="17"/>
      <c r="X527" s="11"/>
      <c r="Y527" s="30"/>
      <c r="Z527" s="19"/>
      <c r="AA527" s="18"/>
      <c r="AB527" s="20"/>
      <c r="AC527" s="29"/>
    </row>
    <row r="528" spans="13:29" x14ac:dyDescent="0.25">
      <c r="M528" s="9"/>
      <c r="N528" s="10"/>
      <c r="O528" s="11"/>
      <c r="P528" s="12"/>
      <c r="Q528" s="27"/>
      <c r="R528" s="14"/>
      <c r="S528" s="28"/>
      <c r="T528" s="15"/>
      <c r="U528" s="16"/>
      <c r="V528" s="17"/>
      <c r="W528" s="17"/>
      <c r="X528" s="11"/>
      <c r="Y528" s="30"/>
      <c r="Z528" s="19"/>
      <c r="AA528" s="18"/>
      <c r="AB528" s="20"/>
      <c r="AC528" s="29"/>
    </row>
    <row r="529" spans="13:29" x14ac:dyDescent="0.25">
      <c r="M529" s="9"/>
      <c r="N529" s="10"/>
      <c r="O529" s="11"/>
      <c r="P529" s="12"/>
      <c r="Q529" s="27"/>
      <c r="R529" s="39"/>
      <c r="S529" s="28"/>
      <c r="T529" s="15"/>
      <c r="U529" s="16"/>
      <c r="V529" s="17"/>
      <c r="W529" s="17"/>
      <c r="X529" s="11"/>
      <c r="Y529" s="30"/>
      <c r="Z529" s="19"/>
      <c r="AA529" s="18"/>
      <c r="AB529" s="20"/>
      <c r="AC529" s="29"/>
    </row>
    <row r="530" spans="13:29" x14ac:dyDescent="0.25">
      <c r="M530" s="9"/>
      <c r="N530" s="10"/>
      <c r="O530" s="11"/>
      <c r="P530" s="12"/>
      <c r="Q530" s="27"/>
      <c r="R530" s="39"/>
      <c r="S530" s="28"/>
      <c r="T530" s="15"/>
      <c r="U530" s="16"/>
      <c r="V530" s="17"/>
      <c r="W530" s="17"/>
      <c r="X530" s="11"/>
      <c r="Y530" s="30"/>
      <c r="Z530" s="19"/>
      <c r="AA530" s="18"/>
      <c r="AB530" s="20"/>
      <c r="AC530" s="29"/>
    </row>
    <row r="531" spans="13:29" x14ac:dyDescent="0.25">
      <c r="M531" s="9"/>
      <c r="N531" s="10"/>
      <c r="O531" s="11"/>
      <c r="P531" s="12"/>
      <c r="Q531" s="27"/>
      <c r="R531" s="39"/>
      <c r="S531" s="28"/>
      <c r="T531" s="15"/>
      <c r="U531" s="16"/>
      <c r="V531" s="17"/>
      <c r="W531" s="17"/>
      <c r="X531" s="11"/>
      <c r="Y531" s="30"/>
      <c r="Z531" s="19"/>
      <c r="AA531" s="18"/>
      <c r="AB531" s="20"/>
      <c r="AC531" s="29"/>
    </row>
    <row r="532" spans="13:29" x14ac:dyDescent="0.25">
      <c r="M532" s="9"/>
      <c r="N532" s="10"/>
      <c r="O532" s="11"/>
      <c r="P532" s="12"/>
      <c r="Q532" s="27"/>
      <c r="R532" s="14"/>
      <c r="S532" s="28"/>
      <c r="T532" s="15"/>
      <c r="U532" s="16"/>
      <c r="V532" s="17"/>
      <c r="W532" s="17"/>
      <c r="X532" s="11"/>
      <c r="Y532" s="30"/>
      <c r="Z532" s="19"/>
      <c r="AA532" s="18"/>
      <c r="AB532" s="20"/>
      <c r="AC532" s="29"/>
    </row>
    <row r="533" spans="13:29" x14ac:dyDescent="0.25">
      <c r="M533" s="9"/>
      <c r="N533" s="10"/>
      <c r="O533" s="11"/>
      <c r="P533" s="12"/>
      <c r="Q533" s="27"/>
      <c r="R533" s="14"/>
      <c r="S533" s="28"/>
      <c r="T533" s="15"/>
      <c r="U533" s="16"/>
      <c r="V533" s="17"/>
      <c r="W533" s="17"/>
      <c r="X533" s="11"/>
      <c r="Y533" s="30"/>
      <c r="Z533" s="19"/>
      <c r="AA533" s="18"/>
      <c r="AB533" s="20"/>
      <c r="AC533" s="29"/>
    </row>
    <row r="534" spans="13:29" x14ac:dyDescent="0.25">
      <c r="M534" s="9"/>
      <c r="N534" s="10"/>
      <c r="O534" s="11"/>
      <c r="P534" s="12"/>
      <c r="Q534" s="27"/>
      <c r="R534" s="14"/>
      <c r="S534" s="28"/>
      <c r="T534" s="15"/>
      <c r="U534" s="16"/>
      <c r="V534" s="17"/>
      <c r="W534" s="17"/>
      <c r="X534" s="11"/>
      <c r="Y534" s="30"/>
      <c r="Z534" s="19"/>
      <c r="AA534" s="18"/>
      <c r="AB534" s="20"/>
      <c r="AC534" s="29"/>
    </row>
    <row r="535" spans="13:29" x14ac:dyDescent="0.25">
      <c r="M535" s="9"/>
      <c r="N535" s="10"/>
      <c r="O535" s="11"/>
      <c r="P535" s="12"/>
      <c r="Q535" s="27"/>
      <c r="R535" s="14"/>
      <c r="S535" s="28"/>
      <c r="T535" s="15"/>
      <c r="U535" s="16"/>
      <c r="V535" s="17"/>
      <c r="W535" s="17"/>
      <c r="X535" s="11"/>
      <c r="Y535" s="30"/>
      <c r="Z535" s="19"/>
      <c r="AA535" s="18"/>
      <c r="AB535" s="20"/>
      <c r="AC535" s="29"/>
    </row>
    <row r="536" spans="13:29" x14ac:dyDescent="0.25">
      <c r="M536" s="9"/>
      <c r="N536" s="10"/>
      <c r="O536" s="11"/>
      <c r="P536" s="12"/>
      <c r="Q536" s="27"/>
      <c r="R536" s="14"/>
      <c r="S536" s="28"/>
      <c r="T536" s="15"/>
      <c r="U536" s="16"/>
      <c r="V536" s="17"/>
      <c r="W536" s="17"/>
      <c r="X536" s="11"/>
      <c r="Y536" s="30"/>
      <c r="Z536" s="19"/>
      <c r="AA536" s="18"/>
      <c r="AB536" s="20"/>
      <c r="AC536" s="29"/>
    </row>
    <row r="537" spans="13:29" x14ac:dyDescent="0.25">
      <c r="M537" s="9"/>
      <c r="N537" s="10"/>
      <c r="O537" s="11"/>
      <c r="P537" s="12"/>
      <c r="Q537" s="27"/>
      <c r="R537" s="14"/>
      <c r="S537" s="28"/>
      <c r="T537" s="15"/>
      <c r="U537" s="16"/>
      <c r="V537" s="17"/>
      <c r="W537" s="17"/>
      <c r="X537" s="11"/>
      <c r="Y537" s="30"/>
      <c r="Z537" s="19"/>
      <c r="AA537" s="18"/>
      <c r="AB537" s="20"/>
      <c r="AC537" s="29"/>
    </row>
    <row r="538" spans="13:29" x14ac:dyDescent="0.25">
      <c r="M538" s="9"/>
      <c r="N538" s="10"/>
      <c r="O538" s="11"/>
      <c r="P538" s="12"/>
      <c r="Q538" s="27"/>
      <c r="R538" s="14"/>
      <c r="S538" s="28"/>
      <c r="T538" s="15"/>
      <c r="U538" s="16"/>
      <c r="V538" s="17"/>
      <c r="W538" s="17"/>
      <c r="X538" s="11"/>
      <c r="Y538" s="30"/>
      <c r="Z538" s="19"/>
      <c r="AA538" s="18"/>
      <c r="AB538" s="20"/>
      <c r="AC538" s="29"/>
    </row>
    <row r="539" spans="13:29" x14ac:dyDescent="0.25">
      <c r="M539" s="9"/>
      <c r="N539" s="10"/>
      <c r="O539" s="11"/>
      <c r="P539" s="12"/>
      <c r="Q539" s="27"/>
      <c r="R539" s="14"/>
      <c r="S539" s="28"/>
      <c r="T539" s="15"/>
      <c r="U539" s="16"/>
      <c r="V539" s="17"/>
      <c r="W539" s="17"/>
      <c r="X539" s="11"/>
      <c r="Y539" s="30"/>
      <c r="Z539" s="19"/>
      <c r="AA539" s="18"/>
      <c r="AB539" s="20"/>
      <c r="AC539" s="29"/>
    </row>
    <row r="540" spans="13:29" x14ac:dyDescent="0.25">
      <c r="M540" s="9"/>
      <c r="N540" s="10"/>
      <c r="O540" s="11"/>
      <c r="P540" s="12"/>
      <c r="Q540" s="27"/>
      <c r="R540" s="14"/>
      <c r="S540" s="28"/>
      <c r="T540" s="15"/>
      <c r="U540" s="16"/>
      <c r="V540" s="17"/>
      <c r="W540" s="17"/>
      <c r="X540" s="11"/>
      <c r="Y540" s="30"/>
      <c r="Z540" s="19"/>
      <c r="AA540" s="18"/>
      <c r="AB540" s="20"/>
      <c r="AC540" s="29"/>
    </row>
    <row r="541" spans="13:29" x14ac:dyDescent="0.25">
      <c r="M541" s="9"/>
      <c r="N541" s="10"/>
      <c r="O541" s="11"/>
      <c r="P541" s="12"/>
      <c r="Q541" s="27"/>
      <c r="R541" s="14"/>
      <c r="S541" s="28"/>
      <c r="T541" s="15"/>
      <c r="U541" s="16"/>
      <c r="V541" s="17"/>
      <c r="W541" s="17"/>
      <c r="X541" s="11"/>
      <c r="Y541" s="30"/>
      <c r="Z541" s="19"/>
      <c r="AA541" s="18"/>
      <c r="AB541" s="20"/>
      <c r="AC541" s="29"/>
    </row>
    <row r="542" spans="13:29" x14ac:dyDescent="0.25">
      <c r="M542" s="9"/>
      <c r="N542" s="10"/>
      <c r="O542" s="11"/>
      <c r="P542" s="12"/>
      <c r="Q542" s="27"/>
      <c r="R542" s="14"/>
      <c r="S542" s="28"/>
      <c r="T542" s="15"/>
      <c r="U542" s="16"/>
      <c r="V542" s="17"/>
      <c r="W542" s="17"/>
      <c r="X542" s="11"/>
      <c r="Y542" s="30"/>
      <c r="Z542" s="19"/>
      <c r="AA542" s="18"/>
      <c r="AB542" s="20"/>
      <c r="AC542" s="29"/>
    </row>
    <row r="543" spans="13:29" x14ac:dyDescent="0.25">
      <c r="M543" s="9"/>
      <c r="N543" s="10"/>
      <c r="O543" s="11"/>
      <c r="P543" s="12"/>
      <c r="Q543" s="27"/>
      <c r="R543" s="14"/>
      <c r="S543" s="28"/>
      <c r="T543" s="15"/>
      <c r="U543" s="16"/>
      <c r="V543" s="17"/>
      <c r="W543" s="17"/>
      <c r="X543" s="11"/>
      <c r="Y543" s="30"/>
      <c r="Z543" s="19"/>
      <c r="AA543" s="18"/>
      <c r="AB543" s="20"/>
      <c r="AC543" s="29"/>
    </row>
    <row r="544" spans="13:29" x14ac:dyDescent="0.25">
      <c r="M544" s="9"/>
      <c r="N544" s="10"/>
      <c r="O544" s="11"/>
      <c r="P544" s="12"/>
      <c r="Q544" s="27"/>
      <c r="R544" s="14"/>
      <c r="S544" s="28"/>
      <c r="T544" s="15"/>
      <c r="U544" s="16"/>
      <c r="V544" s="17"/>
      <c r="W544" s="17"/>
      <c r="X544" s="11"/>
      <c r="Y544" s="30"/>
      <c r="Z544" s="19"/>
      <c r="AA544" s="18"/>
      <c r="AB544" s="10"/>
      <c r="AC544" s="29"/>
    </row>
    <row r="545" spans="13:29" x14ac:dyDescent="0.25">
      <c r="M545" s="9"/>
      <c r="N545" s="10"/>
      <c r="O545" s="11"/>
      <c r="P545" s="12"/>
      <c r="Q545" s="27"/>
      <c r="R545" s="14"/>
      <c r="S545" s="28"/>
      <c r="T545" s="15"/>
      <c r="U545" s="16"/>
      <c r="V545" s="17"/>
      <c r="W545" s="17"/>
      <c r="X545" s="11"/>
      <c r="Y545" s="30"/>
      <c r="Z545" s="19"/>
      <c r="AA545" s="18"/>
      <c r="AB545" s="10"/>
      <c r="AC545" s="29"/>
    </row>
    <row r="546" spans="13:29" x14ac:dyDescent="0.25">
      <c r="M546" s="9"/>
      <c r="N546" s="10"/>
      <c r="O546" s="11"/>
      <c r="P546" s="12"/>
      <c r="Q546" s="27"/>
      <c r="R546" s="14"/>
      <c r="S546" s="28"/>
      <c r="T546" s="15"/>
      <c r="U546" s="16"/>
      <c r="V546" s="17"/>
      <c r="W546" s="17"/>
      <c r="X546" s="11"/>
      <c r="Y546" s="18"/>
      <c r="Z546" s="19"/>
      <c r="AA546" s="18"/>
      <c r="AB546" s="10"/>
      <c r="AC546" s="29"/>
    </row>
    <row r="547" spans="13:29" x14ac:dyDescent="0.25">
      <c r="M547" s="9"/>
      <c r="N547" s="10"/>
      <c r="O547" s="11"/>
      <c r="P547" s="12"/>
      <c r="Q547" s="27"/>
      <c r="R547" s="14"/>
      <c r="S547" s="28"/>
      <c r="T547" s="15"/>
      <c r="U547" s="16"/>
      <c r="V547" s="17"/>
      <c r="W547" s="17"/>
      <c r="X547" s="11"/>
      <c r="Y547" s="18"/>
      <c r="Z547" s="19"/>
      <c r="AA547" s="18"/>
      <c r="AB547" s="10"/>
      <c r="AC547" s="29"/>
    </row>
    <row r="548" spans="13:29" x14ac:dyDescent="0.25">
      <c r="M548" s="9"/>
      <c r="N548" s="10"/>
      <c r="O548" s="11"/>
      <c r="P548" s="12"/>
      <c r="Q548" s="27"/>
      <c r="R548" s="14"/>
      <c r="S548" s="28"/>
      <c r="T548" s="15"/>
      <c r="U548" s="16"/>
      <c r="V548" s="17"/>
      <c r="W548" s="17"/>
      <c r="X548" s="11"/>
      <c r="Y548" s="30"/>
      <c r="Z548" s="19"/>
      <c r="AA548" s="18"/>
      <c r="AB548" s="10"/>
      <c r="AC548" s="29"/>
    </row>
    <row r="549" spans="13:29" x14ac:dyDescent="0.25">
      <c r="M549" s="9"/>
      <c r="N549" s="10"/>
      <c r="O549" s="11"/>
      <c r="P549" s="12"/>
      <c r="Q549" s="27"/>
      <c r="R549" s="14"/>
      <c r="S549" s="28"/>
      <c r="T549" s="15"/>
      <c r="U549" s="16"/>
      <c r="V549" s="17"/>
      <c r="W549" s="17"/>
      <c r="X549" s="11"/>
      <c r="Y549" s="30"/>
      <c r="Z549" s="19"/>
      <c r="AA549" s="18"/>
      <c r="AB549" s="10"/>
      <c r="AC549" s="29"/>
    </row>
    <row r="550" spans="13:29" x14ac:dyDescent="0.25">
      <c r="M550" s="9"/>
      <c r="N550" s="10"/>
      <c r="O550" s="11"/>
      <c r="P550" s="12"/>
      <c r="Q550" s="27"/>
      <c r="R550" s="14"/>
      <c r="S550" s="28"/>
      <c r="T550" s="15"/>
      <c r="U550" s="16"/>
      <c r="V550" s="17"/>
      <c r="W550" s="17"/>
      <c r="X550" s="11"/>
      <c r="Y550" s="30"/>
      <c r="Z550" s="19"/>
      <c r="AA550" s="18"/>
      <c r="AB550" s="10"/>
      <c r="AC550" s="29"/>
    </row>
    <row r="551" spans="13:29" x14ac:dyDescent="0.25">
      <c r="M551" s="9"/>
      <c r="N551" s="10"/>
      <c r="O551" s="11"/>
      <c r="P551" s="12"/>
      <c r="Q551" s="27"/>
      <c r="R551" s="14"/>
      <c r="S551" s="28"/>
      <c r="T551" s="15"/>
      <c r="U551" s="16"/>
      <c r="V551" s="17"/>
      <c r="W551" s="17"/>
      <c r="X551" s="11"/>
      <c r="Y551" s="30"/>
      <c r="Z551" s="19"/>
      <c r="AA551" s="18"/>
      <c r="AB551" s="10"/>
      <c r="AC551" s="29"/>
    </row>
    <row r="552" spans="13:29" x14ac:dyDescent="0.25">
      <c r="M552" s="9"/>
      <c r="N552" s="10"/>
      <c r="O552" s="11"/>
      <c r="P552" s="12"/>
      <c r="Q552" s="27"/>
      <c r="R552" s="14"/>
      <c r="S552" s="28"/>
      <c r="T552" s="15"/>
      <c r="U552" s="16"/>
      <c r="V552" s="17"/>
      <c r="W552" s="17"/>
      <c r="X552" s="11"/>
      <c r="Y552" s="18"/>
      <c r="Z552" s="19"/>
      <c r="AA552" s="18"/>
      <c r="AB552" s="10"/>
      <c r="AC552" s="29"/>
    </row>
    <row r="553" spans="13:29" x14ac:dyDescent="0.25">
      <c r="M553" s="9"/>
      <c r="N553" s="10"/>
      <c r="O553" s="11"/>
      <c r="P553" s="12"/>
      <c r="Q553" s="27"/>
      <c r="R553" s="14"/>
      <c r="S553" s="28"/>
      <c r="T553" s="15"/>
      <c r="U553" s="16"/>
      <c r="V553" s="17"/>
      <c r="W553" s="17"/>
      <c r="X553" s="11"/>
      <c r="Y553" s="30"/>
      <c r="Z553" s="19"/>
      <c r="AA553" s="18"/>
      <c r="AB553" s="10"/>
      <c r="AC553" s="29"/>
    </row>
    <row r="554" spans="13:29" x14ac:dyDescent="0.25">
      <c r="M554" s="9"/>
      <c r="N554" s="10"/>
      <c r="O554" s="11"/>
      <c r="P554" s="12"/>
      <c r="Q554" s="27"/>
      <c r="R554" s="14"/>
      <c r="S554" s="28"/>
      <c r="T554" s="15"/>
      <c r="U554" s="16"/>
      <c r="V554" s="17"/>
      <c r="W554" s="17"/>
      <c r="X554" s="11"/>
      <c r="Y554" s="30"/>
      <c r="Z554" s="19"/>
      <c r="AA554" s="18"/>
      <c r="AB554" s="10"/>
      <c r="AC554" s="29"/>
    </row>
    <row r="555" spans="13:29" x14ac:dyDescent="0.25">
      <c r="M555" s="9"/>
      <c r="N555" s="10"/>
      <c r="O555" s="11"/>
      <c r="P555" s="12"/>
      <c r="Q555" s="27"/>
      <c r="R555" s="14"/>
      <c r="S555" s="28"/>
      <c r="T555" s="15"/>
      <c r="U555" s="16"/>
      <c r="V555" s="17"/>
      <c r="W555" s="17"/>
      <c r="X555" s="11"/>
      <c r="Y555" s="30"/>
      <c r="Z555" s="19"/>
      <c r="AA555" s="18"/>
      <c r="AB555" s="10"/>
      <c r="AC555" s="29"/>
    </row>
    <row r="556" spans="13:29" x14ac:dyDescent="0.25">
      <c r="M556" s="9"/>
      <c r="N556" s="10"/>
      <c r="O556" s="11"/>
      <c r="P556" s="12"/>
      <c r="Q556" s="27"/>
      <c r="R556" s="14"/>
      <c r="S556" s="28"/>
      <c r="T556" s="15"/>
      <c r="U556" s="16"/>
      <c r="V556" s="17"/>
      <c r="W556" s="17"/>
      <c r="X556" s="11"/>
      <c r="Y556" s="30"/>
      <c r="Z556" s="19"/>
      <c r="AA556" s="18"/>
      <c r="AB556" s="10"/>
      <c r="AC556" s="29"/>
    </row>
    <row r="557" spans="13:29" x14ac:dyDescent="0.25">
      <c r="M557" s="9"/>
      <c r="N557" s="10"/>
      <c r="O557" s="11"/>
      <c r="P557" s="12"/>
      <c r="Q557" s="27"/>
      <c r="R557" s="14"/>
      <c r="S557" s="28"/>
      <c r="T557" s="15"/>
      <c r="U557" s="16"/>
      <c r="V557" s="17"/>
      <c r="W557" s="17"/>
      <c r="X557" s="11"/>
      <c r="Y557" s="30"/>
      <c r="Z557" s="19"/>
      <c r="AA557" s="18"/>
      <c r="AB557" s="20"/>
      <c r="AC557" s="29"/>
    </row>
    <row r="558" spans="13:29" x14ac:dyDescent="0.25">
      <c r="M558" s="9"/>
      <c r="N558" s="10"/>
      <c r="O558" s="11"/>
      <c r="P558" s="12"/>
      <c r="Q558" s="27"/>
      <c r="R558" s="14"/>
      <c r="S558" s="28"/>
      <c r="T558" s="15"/>
      <c r="U558" s="16"/>
      <c r="V558" s="17"/>
      <c r="W558" s="17"/>
      <c r="X558" s="11"/>
      <c r="Y558" s="18"/>
      <c r="Z558" s="19"/>
      <c r="AA558" s="18"/>
      <c r="AB558" s="10"/>
      <c r="AC558" s="29"/>
    </row>
    <row r="559" spans="13:29" x14ac:dyDescent="0.25">
      <c r="M559" s="9"/>
      <c r="N559" s="10"/>
      <c r="O559" s="11"/>
      <c r="P559" s="12"/>
      <c r="Q559" s="27"/>
      <c r="R559" s="14"/>
      <c r="S559" s="28"/>
      <c r="T559" s="15"/>
      <c r="U559" s="16"/>
      <c r="V559" s="17"/>
      <c r="W559" s="17"/>
      <c r="X559" s="11"/>
      <c r="Y559" s="18"/>
      <c r="Z559" s="19"/>
      <c r="AA559" s="18"/>
      <c r="AB559" s="10"/>
      <c r="AC559" s="29"/>
    </row>
    <row r="560" spans="13:29" x14ac:dyDescent="0.25">
      <c r="M560" s="9"/>
      <c r="N560" s="10"/>
      <c r="O560" s="11"/>
      <c r="P560" s="12"/>
      <c r="Q560" s="27"/>
      <c r="R560" s="14"/>
      <c r="S560" s="28"/>
      <c r="T560" s="15"/>
      <c r="U560" s="16"/>
      <c r="V560" s="17"/>
      <c r="W560" s="17"/>
      <c r="X560" s="11"/>
      <c r="Y560" s="18"/>
      <c r="Z560" s="19"/>
      <c r="AA560" s="18"/>
      <c r="AB560" s="10"/>
      <c r="AC560" s="29"/>
    </row>
    <row r="561" spans="13:29" x14ac:dyDescent="0.25">
      <c r="M561" s="9"/>
      <c r="N561" s="10"/>
      <c r="O561" s="11"/>
      <c r="P561" s="12"/>
      <c r="Q561" s="27"/>
      <c r="R561" s="14"/>
      <c r="S561" s="15"/>
      <c r="T561" s="15"/>
      <c r="U561" s="16"/>
      <c r="V561" s="17"/>
      <c r="W561" s="17"/>
      <c r="X561" s="11"/>
      <c r="Y561" s="18"/>
      <c r="Z561" s="19"/>
      <c r="AA561" s="18"/>
      <c r="AB561" s="20"/>
      <c r="AC561" s="29"/>
    </row>
    <row r="562" spans="13:29" x14ac:dyDescent="0.25">
      <c r="M562" s="9"/>
      <c r="N562" s="10"/>
      <c r="O562" s="11"/>
      <c r="P562" s="12"/>
      <c r="Q562" s="27"/>
      <c r="R562" s="14"/>
      <c r="S562" s="15"/>
      <c r="T562" s="15"/>
      <c r="U562" s="16"/>
      <c r="V562" s="17"/>
      <c r="W562" s="17"/>
      <c r="X562" s="11"/>
      <c r="Y562" s="18"/>
      <c r="Z562" s="19"/>
      <c r="AA562" s="18"/>
      <c r="AB562" s="10"/>
      <c r="AC562" s="29"/>
    </row>
    <row r="563" spans="13:29" x14ac:dyDescent="0.25">
      <c r="M563" s="9"/>
      <c r="N563" s="10"/>
      <c r="O563" s="11"/>
      <c r="P563" s="12"/>
      <c r="Q563" s="27"/>
      <c r="R563" s="14"/>
      <c r="S563" s="15"/>
      <c r="T563" s="15"/>
      <c r="U563" s="16"/>
      <c r="V563" s="17"/>
      <c r="W563" s="17"/>
      <c r="X563" s="11"/>
      <c r="Y563" s="18"/>
      <c r="Z563" s="19"/>
      <c r="AA563" s="18"/>
      <c r="AB563" s="10"/>
      <c r="AC563" s="29"/>
    </row>
    <row r="564" spans="13:29" x14ac:dyDescent="0.25">
      <c r="M564" s="9"/>
      <c r="N564" s="10"/>
      <c r="O564" s="11"/>
      <c r="P564" s="12"/>
      <c r="Q564" s="27"/>
      <c r="R564" s="14"/>
      <c r="S564" s="28"/>
      <c r="T564" s="15"/>
      <c r="U564" s="16"/>
      <c r="V564" s="17"/>
      <c r="W564" s="17"/>
      <c r="X564" s="11"/>
      <c r="Y564" s="18"/>
      <c r="Z564" s="19"/>
      <c r="AA564" s="18"/>
      <c r="AB564" s="10"/>
      <c r="AC564" s="29"/>
    </row>
    <row r="565" spans="13:29" x14ac:dyDescent="0.25">
      <c r="M565" s="9"/>
      <c r="N565" s="10"/>
      <c r="O565" s="11"/>
      <c r="P565" s="12"/>
      <c r="Q565" s="27"/>
      <c r="R565" s="14"/>
      <c r="S565" s="28"/>
      <c r="T565" s="15"/>
      <c r="U565" s="16"/>
      <c r="V565" s="17"/>
      <c r="W565" s="17"/>
      <c r="X565" s="11"/>
      <c r="Y565" s="18"/>
      <c r="Z565" s="19"/>
      <c r="AA565" s="18"/>
      <c r="AB565" s="10"/>
      <c r="AC565" s="29"/>
    </row>
    <row r="566" spans="13:29" x14ac:dyDescent="0.25">
      <c r="M566" s="9"/>
      <c r="N566" s="10"/>
      <c r="O566" s="11"/>
      <c r="P566" s="12"/>
      <c r="Q566" s="27"/>
      <c r="R566" s="14"/>
      <c r="S566" s="28"/>
      <c r="T566" s="15"/>
      <c r="U566" s="16"/>
      <c r="V566" s="17"/>
      <c r="W566" s="17"/>
      <c r="X566" s="11"/>
      <c r="Y566" s="18"/>
      <c r="Z566" s="19"/>
      <c r="AA566" s="18"/>
      <c r="AB566" s="10"/>
      <c r="AC566" s="29"/>
    </row>
    <row r="567" spans="13:29" x14ac:dyDescent="0.25">
      <c r="M567" s="9"/>
      <c r="N567" s="10"/>
      <c r="O567" s="11"/>
      <c r="P567" s="12"/>
      <c r="Q567" s="27"/>
      <c r="R567" s="14"/>
      <c r="S567" s="28"/>
      <c r="T567" s="15"/>
      <c r="U567" s="16"/>
      <c r="V567" s="17"/>
      <c r="W567" s="17"/>
      <c r="X567" s="11"/>
      <c r="Y567" s="18"/>
      <c r="Z567" s="19"/>
      <c r="AA567" s="18"/>
      <c r="AB567" s="10"/>
      <c r="AC567" s="29"/>
    </row>
    <row r="568" spans="13:29" x14ac:dyDescent="0.25">
      <c r="M568" s="9"/>
      <c r="N568" s="10"/>
      <c r="O568" s="11"/>
      <c r="P568" s="12"/>
      <c r="Q568" s="27"/>
      <c r="R568" s="14"/>
      <c r="S568" s="28"/>
      <c r="T568" s="15"/>
      <c r="U568" s="16"/>
      <c r="V568" s="17"/>
      <c r="W568" s="17"/>
      <c r="X568" s="11"/>
      <c r="Y568" s="18"/>
      <c r="Z568" s="19"/>
      <c r="AA568" s="18"/>
      <c r="AB568" s="10"/>
      <c r="AC568" s="29"/>
    </row>
    <row r="569" spans="13:29" x14ac:dyDescent="0.25">
      <c r="M569" s="9"/>
      <c r="N569" s="10"/>
      <c r="O569" s="11"/>
      <c r="P569" s="12"/>
      <c r="Q569" s="27"/>
      <c r="R569" s="14"/>
      <c r="S569" s="28"/>
      <c r="T569" s="15"/>
      <c r="U569" s="16"/>
      <c r="V569" s="17"/>
      <c r="W569" s="17"/>
      <c r="X569" s="11"/>
      <c r="Y569" s="18"/>
      <c r="Z569" s="19"/>
      <c r="AA569" s="18"/>
      <c r="AB569" s="20"/>
      <c r="AC569" s="29"/>
    </row>
    <row r="570" spans="13:29" x14ac:dyDescent="0.25">
      <c r="M570" s="9"/>
      <c r="N570" s="10"/>
      <c r="O570" s="11"/>
      <c r="P570" s="12"/>
      <c r="Q570" s="27"/>
      <c r="R570" s="14"/>
      <c r="S570" s="28"/>
      <c r="T570" s="15"/>
      <c r="U570" s="16"/>
      <c r="V570" s="17"/>
      <c r="W570" s="17"/>
      <c r="X570" s="11"/>
      <c r="Y570" s="18"/>
      <c r="Z570" s="19"/>
      <c r="AA570" s="18"/>
      <c r="AB570" s="10"/>
      <c r="AC570" s="29"/>
    </row>
    <row r="571" spans="13:29" x14ac:dyDescent="0.25">
      <c r="M571" s="9"/>
      <c r="N571" s="10"/>
      <c r="O571" s="11"/>
      <c r="P571" s="12"/>
      <c r="Q571" s="27"/>
      <c r="R571" s="14"/>
      <c r="S571" s="28"/>
      <c r="T571" s="15"/>
      <c r="U571" s="16"/>
      <c r="V571" s="17"/>
      <c r="W571" s="17"/>
      <c r="X571" s="11"/>
      <c r="Y571" s="18"/>
      <c r="Z571" s="19"/>
      <c r="AA571" s="18"/>
      <c r="AB571" s="20"/>
      <c r="AC571" s="29"/>
    </row>
    <row r="572" spans="13:29" x14ac:dyDescent="0.25">
      <c r="M572" s="9"/>
      <c r="N572" s="10"/>
      <c r="O572" s="11"/>
      <c r="P572" s="12"/>
      <c r="Q572" s="27"/>
      <c r="R572" s="14"/>
      <c r="S572" s="28"/>
      <c r="T572" s="15"/>
      <c r="U572" s="16"/>
      <c r="V572" s="17"/>
      <c r="W572" s="17"/>
      <c r="X572" s="11"/>
      <c r="Y572" s="18"/>
      <c r="Z572" s="19"/>
      <c r="AA572" s="18"/>
      <c r="AB572" s="20"/>
      <c r="AC572" s="29"/>
    </row>
    <row r="573" spans="13:29" x14ac:dyDescent="0.25">
      <c r="M573" s="9"/>
      <c r="N573" s="10"/>
      <c r="O573" s="11"/>
      <c r="P573" s="12"/>
      <c r="Q573" s="27"/>
      <c r="R573" s="14"/>
      <c r="S573" s="28"/>
      <c r="T573" s="15"/>
      <c r="U573" s="16"/>
      <c r="V573" s="17"/>
      <c r="W573" s="17"/>
      <c r="X573" s="11"/>
      <c r="Y573" s="18"/>
      <c r="Z573" s="19"/>
      <c r="AA573" s="18"/>
      <c r="AB573" s="20"/>
      <c r="AC573" s="29"/>
    </row>
    <row r="574" spans="13:29" x14ac:dyDescent="0.25">
      <c r="M574" s="9"/>
      <c r="N574" s="10"/>
      <c r="O574" s="11"/>
      <c r="P574" s="12"/>
      <c r="Q574" s="27"/>
      <c r="R574" s="14"/>
      <c r="S574" s="28"/>
      <c r="T574" s="15"/>
      <c r="U574" s="16"/>
      <c r="V574" s="17"/>
      <c r="W574" s="17"/>
      <c r="X574" s="11"/>
      <c r="Y574" s="18"/>
      <c r="Z574" s="19"/>
      <c r="AA574" s="18"/>
      <c r="AB574" s="20"/>
      <c r="AC574" s="29"/>
    </row>
    <row r="575" spans="13:29" x14ac:dyDescent="0.25">
      <c r="M575" s="9"/>
      <c r="N575" s="10"/>
      <c r="O575" s="11"/>
      <c r="P575" s="12"/>
      <c r="Q575" s="27"/>
      <c r="R575" s="14"/>
      <c r="S575" s="28"/>
      <c r="T575" s="15"/>
      <c r="U575" s="16"/>
      <c r="V575" s="17"/>
      <c r="W575" s="17"/>
      <c r="X575" s="11"/>
      <c r="Y575" s="18"/>
      <c r="Z575" s="19"/>
      <c r="AA575" s="18"/>
      <c r="AB575" s="10"/>
      <c r="AC575" s="29"/>
    </row>
    <row r="576" spans="13:29" x14ac:dyDescent="0.25">
      <c r="M576" s="9"/>
      <c r="N576" s="10"/>
      <c r="O576" s="11"/>
      <c r="P576" s="12"/>
      <c r="Q576" s="27"/>
      <c r="R576" s="14"/>
      <c r="S576" s="28"/>
      <c r="T576" s="15"/>
      <c r="U576" s="16"/>
      <c r="V576" s="17"/>
      <c r="W576" s="17"/>
      <c r="X576" s="11"/>
      <c r="Y576" s="18"/>
      <c r="Z576" s="19"/>
      <c r="AA576" s="18"/>
      <c r="AB576" s="10"/>
      <c r="AC576" s="29"/>
    </row>
    <row r="577" spans="13:29" x14ac:dyDescent="0.25">
      <c r="M577" s="9"/>
      <c r="N577" s="10"/>
      <c r="O577" s="11"/>
      <c r="P577" s="12"/>
      <c r="Q577" s="27"/>
      <c r="R577" s="14"/>
      <c r="S577" s="28"/>
      <c r="T577" s="15"/>
      <c r="U577" s="16"/>
      <c r="V577" s="17"/>
      <c r="W577" s="17"/>
      <c r="X577" s="11"/>
      <c r="Y577" s="18"/>
      <c r="Z577" s="19"/>
      <c r="AA577" s="18"/>
      <c r="AB577" s="20"/>
      <c r="AC577" s="29"/>
    </row>
    <row r="578" spans="13:29" x14ac:dyDescent="0.25">
      <c r="M578" s="9"/>
      <c r="N578" s="10"/>
      <c r="O578" s="11"/>
      <c r="P578" s="12"/>
      <c r="Q578" s="27"/>
      <c r="R578" s="14"/>
      <c r="S578" s="28"/>
      <c r="T578" s="15"/>
      <c r="U578" s="16"/>
      <c r="V578" s="17"/>
      <c r="W578" s="17"/>
      <c r="X578" s="11"/>
      <c r="Y578" s="18"/>
      <c r="Z578" s="19"/>
      <c r="AA578" s="18"/>
      <c r="AB578" s="20"/>
      <c r="AC578" s="29"/>
    </row>
    <row r="579" spans="13:29" x14ac:dyDescent="0.25">
      <c r="M579" s="9"/>
      <c r="N579" s="10"/>
      <c r="O579" s="11"/>
      <c r="P579" s="12"/>
      <c r="Q579" s="27"/>
      <c r="R579" s="14"/>
      <c r="S579" s="28"/>
      <c r="T579" s="15"/>
      <c r="U579" s="16"/>
      <c r="V579" s="17"/>
      <c r="W579" s="17"/>
      <c r="X579" s="11"/>
      <c r="Y579" s="18"/>
      <c r="Z579" s="19"/>
      <c r="AA579" s="18"/>
      <c r="AB579" s="20"/>
      <c r="AC579" s="29"/>
    </row>
    <row r="580" spans="13:29" x14ac:dyDescent="0.25">
      <c r="M580" s="9"/>
      <c r="N580" s="10"/>
      <c r="O580" s="11"/>
      <c r="P580" s="12"/>
      <c r="Q580" s="27"/>
      <c r="R580" s="14"/>
      <c r="S580" s="28"/>
      <c r="T580" s="15"/>
      <c r="U580" s="16"/>
      <c r="V580" s="17"/>
      <c r="W580" s="17"/>
      <c r="X580" s="11"/>
      <c r="Y580" s="18"/>
      <c r="Z580" s="19"/>
      <c r="AA580" s="18"/>
      <c r="AB580" s="10"/>
      <c r="AC580" s="29"/>
    </row>
    <row r="581" spans="13:29" x14ac:dyDescent="0.25">
      <c r="M581" s="9"/>
      <c r="N581" s="10"/>
      <c r="O581" s="11"/>
      <c r="P581" s="12"/>
      <c r="Q581" s="27"/>
      <c r="R581" s="14"/>
      <c r="S581" s="28"/>
      <c r="T581" s="15"/>
      <c r="U581" s="16"/>
      <c r="V581" s="17"/>
      <c r="W581" s="17"/>
      <c r="X581" s="11"/>
      <c r="Y581" s="18"/>
      <c r="Z581" s="19"/>
      <c r="AA581" s="18"/>
      <c r="AB581" s="10"/>
      <c r="AC581" s="29"/>
    </row>
    <row r="582" spans="13:29" x14ac:dyDescent="0.25">
      <c r="M582" s="9"/>
      <c r="N582" s="10"/>
      <c r="O582" s="11"/>
      <c r="P582" s="12"/>
      <c r="Q582" s="27"/>
      <c r="R582" s="14"/>
      <c r="S582" s="28"/>
      <c r="T582" s="15"/>
      <c r="U582" s="16"/>
      <c r="V582" s="17"/>
      <c r="W582" s="17"/>
      <c r="X582" s="11"/>
      <c r="Y582" s="18"/>
      <c r="Z582" s="19"/>
      <c r="AA582" s="18"/>
      <c r="AB582" s="20"/>
      <c r="AC582" s="29"/>
    </row>
    <row r="583" spans="13:29" x14ac:dyDescent="0.25">
      <c r="M583" s="9"/>
      <c r="N583" s="10"/>
      <c r="O583" s="11"/>
      <c r="P583" s="12"/>
      <c r="Q583" s="27"/>
      <c r="R583" s="14"/>
      <c r="S583" s="28"/>
      <c r="T583" s="15"/>
      <c r="U583" s="16"/>
      <c r="V583" s="17"/>
      <c r="W583" s="17"/>
      <c r="X583" s="11"/>
      <c r="Y583" s="18"/>
      <c r="Z583" s="19"/>
      <c r="AA583" s="18"/>
      <c r="AB583" s="10"/>
      <c r="AC583" s="29"/>
    </row>
    <row r="584" spans="13:29" x14ac:dyDescent="0.25">
      <c r="M584" s="9"/>
      <c r="N584" s="10"/>
      <c r="O584" s="11"/>
      <c r="P584" s="12"/>
      <c r="Q584" s="40"/>
      <c r="R584" s="14"/>
      <c r="S584" s="28"/>
      <c r="T584" s="15"/>
      <c r="U584" s="16"/>
      <c r="V584" s="17"/>
      <c r="W584" s="17"/>
      <c r="X584" s="11"/>
      <c r="Y584" s="18"/>
      <c r="Z584" s="19"/>
      <c r="AA584" s="18"/>
      <c r="AB584" s="20"/>
      <c r="AC584" s="29"/>
    </row>
    <row r="585" spans="13:29" x14ac:dyDescent="0.25">
      <c r="M585" s="9"/>
      <c r="N585" s="10"/>
      <c r="O585" s="11"/>
      <c r="P585" s="12"/>
      <c r="Q585" s="41"/>
      <c r="R585" s="14"/>
      <c r="S585" s="15"/>
      <c r="T585" s="15"/>
      <c r="U585" s="16"/>
      <c r="V585" s="17"/>
      <c r="W585" s="17"/>
      <c r="X585" s="11"/>
      <c r="Y585" s="18"/>
      <c r="Z585" s="19"/>
      <c r="AA585" s="18"/>
      <c r="AB585" s="20"/>
      <c r="AC585" s="29"/>
    </row>
    <row r="586" spans="13:29" x14ac:dyDescent="0.25">
      <c r="M586" s="9"/>
      <c r="N586" s="10"/>
      <c r="O586" s="11"/>
      <c r="P586" s="12"/>
      <c r="Q586" s="27"/>
      <c r="R586" s="14"/>
      <c r="S586" s="28"/>
      <c r="T586" s="15"/>
      <c r="U586" s="16"/>
      <c r="V586" s="17"/>
      <c r="W586" s="17"/>
      <c r="X586" s="11"/>
      <c r="Y586" s="18"/>
      <c r="Z586" s="19"/>
      <c r="AA586" s="18"/>
      <c r="AB586" s="10"/>
      <c r="AC586" s="29"/>
    </row>
    <row r="587" spans="13:29" x14ac:dyDescent="0.25">
      <c r="M587" s="9"/>
      <c r="N587" s="10"/>
      <c r="O587" s="11"/>
      <c r="P587" s="12"/>
      <c r="Q587" s="27"/>
      <c r="R587" s="14"/>
      <c r="S587" s="28"/>
      <c r="T587" s="15"/>
      <c r="U587" s="16"/>
      <c r="V587" s="17"/>
      <c r="W587" s="17"/>
      <c r="X587" s="11"/>
      <c r="Y587" s="18"/>
      <c r="Z587" s="19"/>
      <c r="AA587" s="18"/>
      <c r="AB587" s="10"/>
      <c r="AC587" s="29"/>
    </row>
    <row r="588" spans="13:29" x14ac:dyDescent="0.25">
      <c r="M588" s="9"/>
      <c r="N588" s="10"/>
      <c r="O588" s="11"/>
      <c r="P588" s="12"/>
      <c r="Q588" s="27"/>
      <c r="R588" s="14"/>
      <c r="S588" s="28"/>
      <c r="T588" s="15"/>
      <c r="U588" s="16"/>
      <c r="V588" s="17"/>
      <c r="W588" s="17"/>
      <c r="X588" s="11"/>
      <c r="Y588" s="18"/>
      <c r="Z588" s="19"/>
      <c r="AA588" s="18"/>
      <c r="AB588" s="10"/>
      <c r="AC588" s="29"/>
    </row>
    <row r="589" spans="13:29" x14ac:dyDescent="0.25">
      <c r="M589" s="9"/>
      <c r="N589" s="10"/>
      <c r="O589" s="11"/>
      <c r="P589" s="12"/>
      <c r="Q589" s="27"/>
      <c r="R589" s="14"/>
      <c r="S589" s="28"/>
      <c r="T589" s="15"/>
      <c r="U589" s="16"/>
      <c r="V589" s="17"/>
      <c r="W589" s="17"/>
      <c r="X589" s="11"/>
      <c r="Y589" s="18"/>
      <c r="Z589" s="19"/>
      <c r="AA589" s="18"/>
      <c r="AB589" s="10"/>
      <c r="AC589" s="29"/>
    </row>
    <row r="590" spans="13:29" x14ac:dyDescent="0.25">
      <c r="M590" s="9"/>
      <c r="N590" s="10"/>
      <c r="O590" s="11"/>
      <c r="P590" s="12"/>
      <c r="Q590" s="27"/>
      <c r="R590" s="14"/>
      <c r="S590" s="28"/>
      <c r="T590" s="15"/>
      <c r="U590" s="16"/>
      <c r="V590" s="17"/>
      <c r="W590" s="17"/>
      <c r="X590" s="11"/>
      <c r="Y590" s="18"/>
      <c r="Z590" s="19"/>
      <c r="AA590" s="18"/>
      <c r="AB590" s="20"/>
      <c r="AC590" s="29"/>
    </row>
    <row r="591" spans="13:29" x14ac:dyDescent="0.25">
      <c r="M591" s="9"/>
      <c r="N591" s="10"/>
      <c r="O591" s="11"/>
      <c r="P591" s="12"/>
      <c r="Q591" s="27"/>
      <c r="R591" s="14"/>
      <c r="S591" s="28"/>
      <c r="T591" s="15"/>
      <c r="U591" s="16"/>
      <c r="V591" s="17"/>
      <c r="W591" s="17"/>
      <c r="X591" s="11"/>
      <c r="Y591" s="18"/>
      <c r="Z591" s="19"/>
      <c r="AA591" s="18"/>
      <c r="AB591" s="20"/>
      <c r="AC591" s="29"/>
    </row>
    <row r="592" spans="13:29" x14ac:dyDescent="0.25">
      <c r="M592" s="9"/>
      <c r="N592" s="10"/>
      <c r="O592" s="11"/>
      <c r="P592" s="12"/>
      <c r="Q592" s="27"/>
      <c r="R592" s="14"/>
      <c r="S592" s="28"/>
      <c r="T592" s="15"/>
      <c r="U592" s="16"/>
      <c r="V592" s="17"/>
      <c r="W592" s="17"/>
      <c r="X592" s="11"/>
      <c r="Y592" s="18"/>
      <c r="Z592" s="19"/>
      <c r="AA592" s="18"/>
      <c r="AB592" s="20"/>
      <c r="AC592" s="29"/>
    </row>
    <row r="593" spans="13:29" x14ac:dyDescent="0.25">
      <c r="M593" s="9"/>
      <c r="N593" s="10"/>
      <c r="O593" s="11"/>
      <c r="P593" s="12"/>
      <c r="Q593" s="27"/>
      <c r="R593" s="14"/>
      <c r="S593" s="28"/>
      <c r="T593" s="15"/>
      <c r="U593" s="16"/>
      <c r="V593" s="17"/>
      <c r="W593" s="17"/>
      <c r="X593" s="11"/>
      <c r="Y593" s="18"/>
      <c r="Z593" s="19"/>
      <c r="AA593" s="18"/>
      <c r="AB593" s="20"/>
      <c r="AC593" s="29"/>
    </row>
    <row r="594" spans="13:29" x14ac:dyDescent="0.25">
      <c r="M594" s="9"/>
      <c r="N594" s="10"/>
      <c r="O594" s="11"/>
      <c r="P594" s="12"/>
      <c r="Q594" s="27"/>
      <c r="R594" s="14"/>
      <c r="S594" s="28"/>
      <c r="T594" s="15"/>
      <c r="U594" s="16"/>
      <c r="V594" s="17"/>
      <c r="W594" s="17"/>
      <c r="X594" s="11"/>
      <c r="Y594" s="18"/>
      <c r="Z594" s="19"/>
      <c r="AA594" s="18"/>
      <c r="AB594" s="20"/>
      <c r="AC594" s="29"/>
    </row>
    <row r="595" spans="13:29" x14ac:dyDescent="0.25">
      <c r="M595" s="9"/>
      <c r="N595" s="10"/>
      <c r="O595" s="11"/>
      <c r="P595" s="12"/>
      <c r="Q595" s="27"/>
      <c r="R595" s="14"/>
      <c r="S595" s="28"/>
      <c r="T595" s="15"/>
      <c r="U595" s="16"/>
      <c r="V595" s="17"/>
      <c r="W595" s="17"/>
      <c r="X595" s="11"/>
      <c r="Y595" s="18"/>
      <c r="Z595" s="19"/>
      <c r="AA595" s="18"/>
      <c r="AB595" s="20"/>
      <c r="AC595" s="29"/>
    </row>
    <row r="596" spans="13:29" x14ac:dyDescent="0.25">
      <c r="M596" s="9"/>
      <c r="N596" s="10"/>
      <c r="O596" s="11"/>
      <c r="P596" s="12"/>
      <c r="Q596" s="27"/>
      <c r="R596" s="14"/>
      <c r="S596" s="28"/>
      <c r="T596" s="15"/>
      <c r="U596" s="16"/>
      <c r="V596" s="17"/>
      <c r="W596" s="17"/>
      <c r="X596" s="11"/>
      <c r="Y596" s="18"/>
      <c r="Z596" s="19"/>
      <c r="AA596" s="18"/>
      <c r="AB596" s="20"/>
      <c r="AC596" s="29"/>
    </row>
    <row r="597" spans="13:29" x14ac:dyDescent="0.25">
      <c r="M597" s="9"/>
      <c r="N597" s="10"/>
      <c r="O597" s="11"/>
      <c r="P597" s="12"/>
      <c r="Q597" s="27"/>
      <c r="R597" s="14"/>
      <c r="S597" s="28"/>
      <c r="T597" s="15"/>
      <c r="U597" s="16"/>
      <c r="V597" s="17"/>
      <c r="W597" s="17"/>
      <c r="X597" s="11"/>
      <c r="Y597" s="18"/>
      <c r="Z597" s="19"/>
      <c r="AA597" s="18"/>
      <c r="AB597" s="20"/>
      <c r="AC597" s="29"/>
    </row>
    <row r="598" spans="13:29" x14ac:dyDescent="0.25">
      <c r="M598" s="9"/>
      <c r="N598" s="10"/>
      <c r="O598" s="11"/>
      <c r="P598" s="12"/>
      <c r="Q598" s="27"/>
      <c r="R598" s="14"/>
      <c r="S598" s="28"/>
      <c r="T598" s="15"/>
      <c r="U598" s="16"/>
      <c r="V598" s="17"/>
      <c r="W598" s="17"/>
      <c r="X598" s="11"/>
      <c r="Y598" s="18"/>
      <c r="Z598" s="19"/>
      <c r="AA598" s="18"/>
      <c r="AB598" s="20"/>
      <c r="AC598" s="29"/>
    </row>
    <row r="599" spans="13:29" x14ac:dyDescent="0.25">
      <c r="M599" s="9"/>
      <c r="N599" s="10"/>
      <c r="O599" s="11"/>
      <c r="P599" s="12"/>
      <c r="Q599" s="27"/>
      <c r="R599" s="14"/>
      <c r="S599" s="28"/>
      <c r="T599" s="15"/>
      <c r="U599" s="16"/>
      <c r="V599" s="17"/>
      <c r="W599" s="17"/>
      <c r="X599" s="11"/>
      <c r="Y599" s="18"/>
      <c r="Z599" s="19"/>
      <c r="AA599" s="18"/>
      <c r="AB599" s="20"/>
      <c r="AC599" s="29"/>
    </row>
    <row r="600" spans="13:29" x14ac:dyDescent="0.25">
      <c r="M600" s="9"/>
      <c r="N600" s="10"/>
      <c r="O600" s="11"/>
      <c r="P600" s="12"/>
      <c r="Q600" s="27"/>
      <c r="R600" s="14"/>
      <c r="S600" s="28"/>
      <c r="T600" s="15"/>
      <c r="U600" s="16"/>
      <c r="V600" s="17"/>
      <c r="W600" s="17"/>
      <c r="X600" s="11"/>
      <c r="Y600" s="18"/>
      <c r="Z600" s="19"/>
      <c r="AA600" s="18"/>
      <c r="AB600" s="20"/>
      <c r="AC600" s="29"/>
    </row>
    <row r="601" spans="13:29" x14ac:dyDescent="0.25">
      <c r="M601" s="9"/>
      <c r="N601" s="10"/>
      <c r="O601" s="11"/>
      <c r="P601" s="12"/>
      <c r="Q601" s="27"/>
      <c r="R601" s="14"/>
      <c r="S601" s="28"/>
      <c r="T601" s="15"/>
      <c r="U601" s="16"/>
      <c r="V601" s="17"/>
      <c r="W601" s="17"/>
      <c r="X601" s="11"/>
      <c r="Y601" s="18"/>
      <c r="Z601" s="19"/>
      <c r="AA601" s="18"/>
      <c r="AB601" s="20"/>
      <c r="AC601" s="29"/>
    </row>
    <row r="602" spans="13:29" x14ac:dyDescent="0.25">
      <c r="M602" s="9"/>
      <c r="N602" s="10"/>
      <c r="O602" s="11"/>
      <c r="P602" s="12"/>
      <c r="Q602" s="27"/>
      <c r="R602" s="14"/>
      <c r="S602" s="28"/>
      <c r="T602" s="15"/>
      <c r="U602" s="16"/>
      <c r="V602" s="17"/>
      <c r="W602" s="17"/>
      <c r="X602" s="11"/>
      <c r="Y602" s="18"/>
      <c r="Z602" s="19"/>
      <c r="AA602" s="18"/>
      <c r="AB602" s="20"/>
      <c r="AC602" s="29"/>
    </row>
    <row r="603" spans="13:29" x14ac:dyDescent="0.25">
      <c r="M603" s="9"/>
      <c r="N603" s="10"/>
      <c r="O603" s="11"/>
      <c r="P603" s="12"/>
      <c r="Q603" s="27"/>
      <c r="R603" s="14"/>
      <c r="S603" s="28"/>
      <c r="T603" s="15"/>
      <c r="U603" s="16"/>
      <c r="V603" s="17"/>
      <c r="W603" s="17"/>
      <c r="X603" s="11"/>
      <c r="Y603" s="18"/>
      <c r="Z603" s="19"/>
      <c r="AA603" s="18"/>
      <c r="AB603" s="20"/>
      <c r="AC603" s="29"/>
    </row>
    <row r="604" spans="13:29" x14ac:dyDescent="0.25">
      <c r="M604" s="9"/>
      <c r="N604" s="10"/>
      <c r="O604" s="11"/>
      <c r="P604" s="12"/>
      <c r="Q604" s="27"/>
      <c r="R604" s="14"/>
      <c r="S604" s="28"/>
      <c r="T604" s="15"/>
      <c r="U604" s="16"/>
      <c r="V604" s="17"/>
      <c r="W604" s="17"/>
      <c r="X604" s="11"/>
      <c r="Y604" s="18"/>
      <c r="Z604" s="19"/>
      <c r="AA604" s="18"/>
      <c r="AB604" s="20"/>
      <c r="AC604" s="29"/>
    </row>
    <row r="605" spans="13:29" x14ac:dyDescent="0.25">
      <c r="M605" s="9"/>
      <c r="N605" s="10"/>
      <c r="O605" s="11"/>
      <c r="P605" s="12"/>
      <c r="Q605" s="27"/>
      <c r="R605" s="14"/>
      <c r="S605" s="28"/>
      <c r="T605" s="15"/>
      <c r="U605" s="16"/>
      <c r="V605" s="17"/>
      <c r="W605" s="17"/>
      <c r="X605" s="11"/>
      <c r="Y605" s="18"/>
      <c r="Z605" s="19"/>
      <c r="AA605" s="18"/>
      <c r="AB605" s="20"/>
      <c r="AC605" s="29"/>
    </row>
    <row r="606" spans="13:29" x14ac:dyDescent="0.25">
      <c r="M606" s="9"/>
      <c r="N606" s="10"/>
      <c r="O606" s="11"/>
      <c r="P606" s="12"/>
      <c r="Q606" s="27"/>
      <c r="R606" s="14"/>
      <c r="S606" s="28"/>
      <c r="T606" s="15"/>
      <c r="U606" s="16"/>
      <c r="V606" s="17"/>
      <c r="W606" s="17"/>
      <c r="X606" s="11"/>
      <c r="Y606" s="18"/>
      <c r="Z606" s="19"/>
      <c r="AA606" s="18"/>
      <c r="AB606" s="20"/>
      <c r="AC606" s="29"/>
    </row>
    <row r="607" spans="13:29" x14ac:dyDescent="0.25">
      <c r="M607" s="9"/>
      <c r="N607" s="10"/>
      <c r="O607" s="11"/>
      <c r="P607" s="12"/>
      <c r="Q607" s="27"/>
      <c r="R607" s="14"/>
      <c r="S607" s="28"/>
      <c r="T607" s="15"/>
      <c r="U607" s="16"/>
      <c r="V607" s="17"/>
      <c r="W607" s="17"/>
      <c r="X607" s="11"/>
      <c r="Y607" s="18"/>
      <c r="Z607" s="19"/>
      <c r="AA607" s="18"/>
      <c r="AB607" s="20"/>
      <c r="AC607" s="29"/>
    </row>
    <row r="608" spans="13:29" x14ac:dyDescent="0.25">
      <c r="M608" s="9"/>
      <c r="N608" s="10"/>
      <c r="O608" s="11"/>
      <c r="P608" s="12"/>
      <c r="Q608" s="27"/>
      <c r="R608" s="14"/>
      <c r="S608" s="28"/>
      <c r="T608" s="15"/>
      <c r="U608" s="16"/>
      <c r="V608" s="17"/>
      <c r="W608" s="17"/>
      <c r="X608" s="11"/>
      <c r="Y608" s="18"/>
      <c r="Z608" s="19"/>
      <c r="AA608" s="18"/>
      <c r="AB608" s="20"/>
      <c r="AC608" s="29"/>
    </row>
    <row r="609" spans="13:29" x14ac:dyDescent="0.25">
      <c r="M609" s="9"/>
      <c r="N609" s="10"/>
      <c r="O609" s="11"/>
      <c r="P609" s="12"/>
      <c r="Q609" s="27"/>
      <c r="R609" s="14"/>
      <c r="S609" s="28"/>
      <c r="T609" s="15"/>
      <c r="U609" s="16"/>
      <c r="V609" s="17"/>
      <c r="W609" s="17"/>
      <c r="X609" s="11"/>
      <c r="Y609" s="18"/>
      <c r="Z609" s="19"/>
      <c r="AA609" s="18"/>
      <c r="AB609" s="20"/>
      <c r="AC609" s="29"/>
    </row>
    <row r="610" spans="13:29" x14ac:dyDescent="0.25">
      <c r="M610" s="9"/>
      <c r="N610" s="10"/>
      <c r="O610" s="11"/>
      <c r="P610" s="12"/>
      <c r="Q610" s="27"/>
      <c r="R610" s="14"/>
      <c r="S610" s="28"/>
      <c r="T610" s="15"/>
      <c r="U610" s="16"/>
      <c r="V610" s="17"/>
      <c r="W610" s="17"/>
      <c r="X610" s="11"/>
      <c r="Y610" s="18"/>
      <c r="Z610" s="19"/>
      <c r="AA610" s="18"/>
      <c r="AB610" s="20"/>
      <c r="AC610" s="29"/>
    </row>
    <row r="611" spans="13:29" x14ac:dyDescent="0.25">
      <c r="M611" s="9"/>
      <c r="N611" s="10"/>
      <c r="O611" s="11"/>
      <c r="P611" s="12"/>
      <c r="Q611" s="27"/>
      <c r="R611" s="14"/>
      <c r="S611" s="28"/>
      <c r="T611" s="15"/>
      <c r="U611" s="16"/>
      <c r="V611" s="17"/>
      <c r="W611" s="17"/>
      <c r="X611" s="11"/>
      <c r="Y611" s="18"/>
      <c r="Z611" s="19"/>
      <c r="AA611" s="18"/>
      <c r="AB611" s="20"/>
      <c r="AC611" s="29"/>
    </row>
    <row r="612" spans="13:29" x14ac:dyDescent="0.25">
      <c r="M612" s="9"/>
      <c r="N612" s="10"/>
      <c r="O612" s="11"/>
      <c r="P612" s="12"/>
      <c r="Q612" s="27"/>
      <c r="R612" s="14"/>
      <c r="S612" s="28"/>
      <c r="T612" s="15"/>
      <c r="U612" s="16"/>
      <c r="V612" s="17"/>
      <c r="W612" s="17"/>
      <c r="X612" s="11"/>
      <c r="Y612" s="18"/>
      <c r="Z612" s="19"/>
      <c r="AA612" s="18"/>
      <c r="AB612" s="20"/>
      <c r="AC612" s="29"/>
    </row>
    <row r="613" spans="13:29" x14ac:dyDescent="0.25">
      <c r="M613" s="9"/>
      <c r="N613" s="10"/>
      <c r="O613" s="11"/>
      <c r="P613" s="12"/>
      <c r="Q613" s="27"/>
      <c r="R613" s="14"/>
      <c r="S613" s="28"/>
      <c r="T613" s="15"/>
      <c r="U613" s="16"/>
      <c r="V613" s="17"/>
      <c r="W613" s="17"/>
      <c r="X613" s="11"/>
      <c r="Y613" s="18"/>
      <c r="Z613" s="19"/>
      <c r="AA613" s="18"/>
      <c r="AB613" s="20"/>
      <c r="AC613" s="29"/>
    </row>
    <row r="614" spans="13:29" x14ac:dyDescent="0.25">
      <c r="M614" s="9"/>
      <c r="N614" s="10"/>
      <c r="O614" s="11"/>
      <c r="P614" s="12"/>
      <c r="Q614" s="27"/>
      <c r="R614" s="14"/>
      <c r="S614" s="28"/>
      <c r="T614" s="15"/>
      <c r="U614" s="16"/>
      <c r="V614" s="17"/>
      <c r="W614" s="17"/>
      <c r="X614" s="11"/>
      <c r="Y614" s="18"/>
      <c r="Z614" s="19"/>
      <c r="AA614" s="18"/>
      <c r="AB614" s="20"/>
      <c r="AC614" s="29"/>
    </row>
    <row r="615" spans="13:29" x14ac:dyDescent="0.25">
      <c r="M615" s="9"/>
      <c r="N615" s="10"/>
      <c r="O615" s="11"/>
      <c r="P615" s="12"/>
      <c r="Q615" s="27"/>
      <c r="R615" s="14"/>
      <c r="S615" s="28"/>
      <c r="T615" s="15"/>
      <c r="U615" s="16"/>
      <c r="V615" s="17"/>
      <c r="W615" s="17"/>
      <c r="X615" s="11"/>
      <c r="Y615" s="18"/>
      <c r="Z615" s="19"/>
      <c r="AA615" s="18"/>
      <c r="AB615" s="20"/>
      <c r="AC615" s="29"/>
    </row>
    <row r="616" spans="13:29" x14ac:dyDescent="0.25">
      <c r="M616" s="9"/>
      <c r="N616" s="10"/>
      <c r="O616" s="11"/>
      <c r="P616" s="12"/>
      <c r="Q616" s="27"/>
      <c r="R616" s="14"/>
      <c r="S616" s="28"/>
      <c r="T616" s="15"/>
      <c r="U616" s="16"/>
      <c r="V616" s="17"/>
      <c r="W616" s="17"/>
      <c r="X616" s="11"/>
      <c r="Y616" s="18"/>
      <c r="Z616" s="19"/>
      <c r="AA616" s="18"/>
      <c r="AB616" s="10"/>
      <c r="AC616" s="29"/>
    </row>
    <row r="617" spans="13:29" x14ac:dyDescent="0.25">
      <c r="M617" s="9"/>
      <c r="N617" s="10"/>
      <c r="O617" s="11"/>
      <c r="P617" s="12"/>
      <c r="Q617" s="27"/>
      <c r="R617" s="14"/>
      <c r="S617" s="28"/>
      <c r="T617" s="15"/>
      <c r="U617" s="16"/>
      <c r="V617" s="17"/>
      <c r="W617" s="17"/>
      <c r="X617" s="11"/>
      <c r="Y617" s="18"/>
      <c r="Z617" s="19"/>
      <c r="AA617" s="18"/>
      <c r="AB617" s="20"/>
      <c r="AC617" s="29"/>
    </row>
    <row r="618" spans="13:29" x14ac:dyDescent="0.25">
      <c r="M618" s="9"/>
      <c r="N618" s="10"/>
      <c r="O618" s="11"/>
      <c r="P618" s="12"/>
      <c r="Q618" s="27"/>
      <c r="R618" s="14"/>
      <c r="S618" s="28"/>
      <c r="T618" s="15"/>
      <c r="U618" s="16"/>
      <c r="V618" s="17"/>
      <c r="W618" s="17"/>
      <c r="X618" s="11"/>
      <c r="Y618" s="18"/>
      <c r="Z618" s="19"/>
      <c r="AA618" s="18"/>
      <c r="AB618" s="10"/>
      <c r="AC618" s="29"/>
    </row>
    <row r="619" spans="13:29" x14ac:dyDescent="0.25">
      <c r="M619" s="9"/>
      <c r="N619" s="10"/>
      <c r="O619" s="11"/>
      <c r="P619" s="12"/>
      <c r="Q619" s="27"/>
      <c r="R619" s="14"/>
      <c r="S619" s="28"/>
      <c r="T619" s="15"/>
      <c r="U619" s="16"/>
      <c r="V619" s="17"/>
      <c r="W619" s="17"/>
      <c r="X619" s="11"/>
      <c r="Y619" s="18"/>
      <c r="Z619" s="19"/>
      <c r="AA619" s="18"/>
      <c r="AB619" s="20"/>
      <c r="AC619" s="29"/>
    </row>
    <row r="620" spans="13:29" x14ac:dyDescent="0.25">
      <c r="M620" s="9"/>
      <c r="N620" s="10"/>
      <c r="O620" s="11"/>
      <c r="P620" s="12"/>
      <c r="Q620" s="27"/>
      <c r="R620" s="14"/>
      <c r="S620" s="28"/>
      <c r="T620" s="15"/>
      <c r="U620" s="16"/>
      <c r="V620" s="17"/>
      <c r="W620" s="17"/>
      <c r="X620" s="11"/>
      <c r="Y620" s="18"/>
      <c r="Z620" s="19"/>
      <c r="AA620" s="18"/>
      <c r="AB620" s="10"/>
      <c r="AC620" s="29"/>
    </row>
    <row r="621" spans="13:29" x14ac:dyDescent="0.25">
      <c r="M621" s="9"/>
      <c r="N621" s="10"/>
      <c r="O621" s="11"/>
      <c r="P621" s="12"/>
      <c r="Q621" s="27"/>
      <c r="R621" s="14"/>
      <c r="S621" s="28"/>
      <c r="T621" s="15"/>
      <c r="U621" s="16"/>
      <c r="V621" s="17"/>
      <c r="W621" s="17"/>
      <c r="X621" s="11"/>
      <c r="Y621" s="18"/>
      <c r="Z621" s="19"/>
      <c r="AA621" s="18"/>
      <c r="AB621" s="10"/>
      <c r="AC621" s="29"/>
    </row>
    <row r="622" spans="13:29" x14ac:dyDescent="0.25">
      <c r="M622" s="9"/>
      <c r="N622" s="10"/>
      <c r="O622" s="11"/>
      <c r="P622" s="12"/>
      <c r="Q622" s="27"/>
      <c r="R622" s="14"/>
      <c r="S622" s="28"/>
      <c r="T622" s="15"/>
      <c r="U622" s="16"/>
      <c r="V622" s="17"/>
      <c r="W622" s="17"/>
      <c r="X622" s="11"/>
      <c r="Y622" s="18"/>
      <c r="Z622" s="19"/>
      <c r="AA622" s="18"/>
      <c r="AB622" s="20"/>
      <c r="AC622" s="29"/>
    </row>
    <row r="623" spans="13:29" x14ac:dyDescent="0.25">
      <c r="M623" s="9"/>
      <c r="N623" s="10"/>
      <c r="O623" s="11"/>
      <c r="P623" s="12"/>
      <c r="Q623" s="27"/>
      <c r="R623" s="14"/>
      <c r="S623" s="28"/>
      <c r="T623" s="15"/>
      <c r="U623" s="16"/>
      <c r="V623" s="17"/>
      <c r="W623" s="17"/>
      <c r="X623" s="11"/>
      <c r="Y623" s="18"/>
      <c r="Z623" s="19"/>
      <c r="AA623" s="18"/>
      <c r="AB623" s="20"/>
      <c r="AC623" s="29"/>
    </row>
    <row r="624" spans="13:29" x14ac:dyDescent="0.25">
      <c r="M624" s="9"/>
      <c r="N624" s="10"/>
      <c r="O624" s="11"/>
      <c r="P624" s="12"/>
      <c r="Q624" s="27"/>
      <c r="R624" s="14"/>
      <c r="S624" s="28"/>
      <c r="T624" s="15"/>
      <c r="U624" s="16"/>
      <c r="V624" s="17"/>
      <c r="W624" s="17"/>
      <c r="X624" s="11"/>
      <c r="Y624" s="18"/>
      <c r="Z624" s="19"/>
      <c r="AA624" s="18"/>
      <c r="AB624" s="20"/>
      <c r="AC624" s="29"/>
    </row>
    <row r="625" spans="13:29" x14ac:dyDescent="0.25">
      <c r="M625" s="9"/>
      <c r="N625" s="10"/>
      <c r="O625" s="11"/>
      <c r="P625" s="12"/>
      <c r="Q625" s="27"/>
      <c r="R625" s="14"/>
      <c r="S625" s="28"/>
      <c r="T625" s="15"/>
      <c r="U625" s="16"/>
      <c r="V625" s="17"/>
      <c r="W625" s="17"/>
      <c r="X625" s="11"/>
      <c r="Y625" s="18"/>
      <c r="Z625" s="19"/>
      <c r="AA625" s="18"/>
      <c r="AB625" s="20"/>
      <c r="AC625" s="29"/>
    </row>
    <row r="626" spans="13:29" x14ac:dyDescent="0.25">
      <c r="M626" s="9"/>
      <c r="N626" s="10"/>
      <c r="O626" s="11"/>
      <c r="P626" s="12"/>
      <c r="Q626" s="27"/>
      <c r="R626" s="14"/>
      <c r="S626" s="28"/>
      <c r="T626" s="15"/>
      <c r="U626" s="16"/>
      <c r="V626" s="17"/>
      <c r="W626" s="17"/>
      <c r="X626" s="11"/>
      <c r="Y626" s="18"/>
      <c r="Z626" s="19"/>
      <c r="AA626" s="18"/>
      <c r="AB626" s="20"/>
      <c r="AC626" s="29"/>
    </row>
    <row r="627" spans="13:29" x14ac:dyDescent="0.25">
      <c r="M627" s="9"/>
      <c r="N627" s="10"/>
      <c r="O627" s="11"/>
      <c r="P627" s="12"/>
      <c r="Q627" s="27"/>
      <c r="R627" s="14"/>
      <c r="S627" s="28"/>
      <c r="T627" s="15"/>
      <c r="U627" s="16"/>
      <c r="V627" s="17"/>
      <c r="W627" s="17"/>
      <c r="X627" s="11"/>
      <c r="Y627" s="18"/>
      <c r="Z627" s="19"/>
      <c r="AA627" s="18"/>
      <c r="AB627" s="20"/>
      <c r="AC627" s="29"/>
    </row>
    <row r="628" spans="13:29" x14ac:dyDescent="0.25">
      <c r="M628" s="9"/>
      <c r="N628" s="10"/>
      <c r="O628" s="11"/>
      <c r="P628" s="12"/>
      <c r="Q628" s="27"/>
      <c r="R628" s="14"/>
      <c r="S628" s="28"/>
      <c r="T628" s="15"/>
      <c r="U628" s="16"/>
      <c r="V628" s="17"/>
      <c r="W628" s="17"/>
      <c r="X628" s="11"/>
      <c r="Y628" s="18"/>
      <c r="Z628" s="19"/>
      <c r="AA628" s="18"/>
      <c r="AB628" s="20"/>
      <c r="AC628" s="29"/>
    </row>
    <row r="629" spans="13:29" x14ac:dyDescent="0.25">
      <c r="M629" s="9"/>
      <c r="N629" s="10"/>
      <c r="O629" s="11"/>
      <c r="P629" s="12"/>
      <c r="Q629" s="27"/>
      <c r="R629" s="14"/>
      <c r="S629" s="28"/>
      <c r="T629" s="15"/>
      <c r="U629" s="16"/>
      <c r="V629" s="17"/>
      <c r="W629" s="17"/>
      <c r="X629" s="11"/>
      <c r="Y629" s="18"/>
      <c r="Z629" s="19"/>
      <c r="AA629" s="18"/>
      <c r="AB629" s="20"/>
      <c r="AC629" s="29"/>
    </row>
    <row r="630" spans="13:29" x14ac:dyDescent="0.25">
      <c r="M630" s="9"/>
      <c r="N630" s="10"/>
      <c r="O630" s="11"/>
      <c r="P630" s="12"/>
      <c r="Q630" s="27"/>
      <c r="R630" s="14"/>
      <c r="S630" s="28"/>
      <c r="T630" s="15"/>
      <c r="U630" s="16"/>
      <c r="V630" s="17"/>
      <c r="W630" s="17"/>
      <c r="X630" s="11"/>
      <c r="Y630" s="18"/>
      <c r="Z630" s="19"/>
      <c r="AA630" s="18"/>
      <c r="AB630" s="20"/>
      <c r="AC630" s="29"/>
    </row>
    <row r="631" spans="13:29" x14ac:dyDescent="0.25">
      <c r="M631" s="9"/>
      <c r="N631" s="10"/>
      <c r="O631" s="11"/>
      <c r="P631" s="12"/>
      <c r="Q631" s="27"/>
      <c r="R631" s="14"/>
      <c r="S631" s="28"/>
      <c r="T631" s="15"/>
      <c r="U631" s="16"/>
      <c r="V631" s="17"/>
      <c r="W631" s="17"/>
      <c r="X631" s="11"/>
      <c r="Y631" s="18"/>
      <c r="Z631" s="19"/>
      <c r="AA631" s="18"/>
      <c r="AB631" s="20"/>
      <c r="AC631" s="29"/>
    </row>
    <row r="632" spans="13:29" x14ac:dyDescent="0.25">
      <c r="M632" s="9"/>
      <c r="N632" s="10"/>
      <c r="O632" s="11"/>
      <c r="P632" s="12"/>
      <c r="Q632" s="27"/>
      <c r="R632" s="14"/>
      <c r="S632" s="28"/>
      <c r="T632" s="15"/>
      <c r="U632" s="16"/>
      <c r="V632" s="17"/>
      <c r="W632" s="17"/>
      <c r="X632" s="11"/>
      <c r="Y632" s="18"/>
      <c r="Z632" s="19"/>
      <c r="AA632" s="18"/>
      <c r="AB632" s="20"/>
      <c r="AC632" s="29"/>
    </row>
    <row r="633" spans="13:29" x14ac:dyDescent="0.25">
      <c r="M633" s="9"/>
      <c r="N633" s="10"/>
      <c r="O633" s="11"/>
      <c r="P633" s="12"/>
      <c r="Q633" s="27"/>
      <c r="R633" s="14"/>
      <c r="S633" s="28"/>
      <c r="T633" s="15"/>
      <c r="U633" s="16"/>
      <c r="V633" s="17"/>
      <c r="W633" s="17"/>
      <c r="X633" s="11"/>
      <c r="Y633" s="18"/>
      <c r="Z633" s="19"/>
      <c r="AA633" s="18"/>
      <c r="AB633" s="20"/>
      <c r="AC633" s="29"/>
    </row>
    <row r="634" spans="13:29" x14ac:dyDescent="0.25">
      <c r="M634" s="9"/>
      <c r="N634" s="10"/>
      <c r="O634" s="11"/>
      <c r="P634" s="12"/>
      <c r="Q634" s="27"/>
      <c r="R634" s="14"/>
      <c r="S634" s="28"/>
      <c r="T634" s="15"/>
      <c r="U634" s="16"/>
      <c r="V634" s="17"/>
      <c r="W634" s="17"/>
      <c r="X634" s="11"/>
      <c r="Y634" s="18"/>
      <c r="Z634" s="19"/>
      <c r="AA634" s="18"/>
      <c r="AB634" s="20"/>
      <c r="AC634" s="29"/>
    </row>
    <row r="635" spans="13:29" x14ac:dyDescent="0.25">
      <c r="M635" s="9"/>
      <c r="N635" s="10"/>
      <c r="O635" s="11"/>
      <c r="P635" s="12"/>
      <c r="Q635" s="27"/>
      <c r="R635" s="14"/>
      <c r="S635" s="28"/>
      <c r="T635" s="15"/>
      <c r="U635" s="16"/>
      <c r="V635" s="17"/>
      <c r="W635" s="17"/>
      <c r="X635" s="11"/>
      <c r="Y635" s="18"/>
      <c r="Z635" s="19"/>
      <c r="AA635" s="18"/>
      <c r="AB635" s="20"/>
      <c r="AC635" s="29"/>
    </row>
    <row r="636" spans="13:29" x14ac:dyDescent="0.25">
      <c r="M636" s="9"/>
      <c r="N636" s="10"/>
      <c r="O636" s="11"/>
      <c r="P636" s="12"/>
      <c r="Q636" s="27"/>
      <c r="R636" s="14"/>
      <c r="S636" s="28"/>
      <c r="T636" s="15"/>
      <c r="U636" s="16"/>
      <c r="V636" s="17"/>
      <c r="W636" s="17"/>
      <c r="X636" s="11"/>
      <c r="Y636" s="18"/>
      <c r="Z636" s="19"/>
      <c r="AA636" s="18"/>
      <c r="AB636" s="20"/>
      <c r="AC636" s="29"/>
    </row>
    <row r="637" spans="13:29" x14ac:dyDescent="0.25">
      <c r="M637" s="9"/>
      <c r="N637" s="10"/>
      <c r="O637" s="11"/>
      <c r="P637" s="12"/>
      <c r="Q637" s="27"/>
      <c r="R637" s="14"/>
      <c r="S637" s="28"/>
      <c r="T637" s="15"/>
      <c r="U637" s="16"/>
      <c r="V637" s="17"/>
      <c r="W637" s="17"/>
      <c r="X637" s="11"/>
      <c r="Y637" s="18"/>
      <c r="Z637" s="19"/>
      <c r="AA637" s="18"/>
      <c r="AB637" s="20"/>
      <c r="AC637" s="29"/>
    </row>
    <row r="638" spans="13:29" x14ac:dyDescent="0.25">
      <c r="M638" s="9"/>
      <c r="N638" s="10"/>
      <c r="O638" s="11"/>
      <c r="P638" s="12"/>
      <c r="Q638" s="27"/>
      <c r="R638" s="14"/>
      <c r="S638" s="28"/>
      <c r="T638" s="35"/>
      <c r="U638" s="16"/>
      <c r="V638" s="17"/>
      <c r="W638" s="17"/>
      <c r="X638" s="11"/>
      <c r="Y638" s="18"/>
      <c r="Z638" s="19"/>
      <c r="AA638" s="18"/>
      <c r="AB638" s="20"/>
      <c r="AC638" s="29"/>
    </row>
    <row r="639" spans="13:29" x14ac:dyDescent="0.25">
      <c r="M639" s="9"/>
      <c r="N639" s="10"/>
      <c r="O639" s="11"/>
      <c r="P639" s="12"/>
      <c r="Q639" s="27"/>
      <c r="R639" s="14"/>
      <c r="S639" s="28"/>
      <c r="T639" s="15"/>
      <c r="U639" s="16"/>
      <c r="V639" s="17"/>
      <c r="W639" s="17"/>
      <c r="X639" s="11"/>
      <c r="Y639" s="18"/>
      <c r="Z639" s="19"/>
      <c r="AA639" s="18"/>
      <c r="AB639" s="20"/>
      <c r="AC639" s="29"/>
    </row>
    <row r="640" spans="13:29" x14ac:dyDescent="0.25">
      <c r="M640" s="9"/>
      <c r="N640" s="10"/>
      <c r="O640" s="11"/>
      <c r="P640" s="12"/>
      <c r="Q640" s="27"/>
      <c r="R640" s="14"/>
      <c r="S640" s="28"/>
      <c r="T640" s="15"/>
      <c r="U640" s="16"/>
      <c r="V640" s="17"/>
      <c r="W640" s="17"/>
      <c r="X640" s="11"/>
      <c r="Y640" s="18"/>
      <c r="Z640" s="19"/>
      <c r="AA640" s="18"/>
      <c r="AB640" s="20"/>
      <c r="AC640" s="29"/>
    </row>
    <row r="641" spans="13:29" x14ac:dyDescent="0.25">
      <c r="M641" s="9"/>
      <c r="N641" s="10"/>
      <c r="O641" s="11"/>
      <c r="P641" s="12"/>
      <c r="Q641" s="27"/>
      <c r="R641" s="14"/>
      <c r="S641" s="28"/>
      <c r="T641" s="15"/>
      <c r="U641" s="16"/>
      <c r="V641" s="17"/>
      <c r="W641" s="17"/>
      <c r="X641" s="11"/>
      <c r="Y641" s="18"/>
      <c r="Z641" s="19"/>
      <c r="AA641" s="18"/>
      <c r="AB641" s="20"/>
      <c r="AC641" s="29"/>
    </row>
    <row r="642" spans="13:29" x14ac:dyDescent="0.25">
      <c r="M642" s="9"/>
      <c r="N642" s="10"/>
      <c r="O642" s="11"/>
      <c r="P642" s="12"/>
      <c r="Q642" s="27"/>
      <c r="R642" s="14"/>
      <c r="S642" s="28"/>
      <c r="T642" s="15"/>
      <c r="U642" s="16"/>
      <c r="V642" s="17"/>
      <c r="W642" s="17"/>
      <c r="X642" s="11"/>
      <c r="Y642" s="18"/>
      <c r="Z642" s="19"/>
      <c r="AA642" s="18"/>
      <c r="AB642" s="20"/>
      <c r="AC642" s="29"/>
    </row>
    <row r="643" spans="13:29" x14ac:dyDescent="0.25">
      <c r="M643" s="9"/>
      <c r="N643" s="10"/>
      <c r="O643" s="11"/>
      <c r="P643" s="12"/>
      <c r="Q643" s="27"/>
      <c r="R643" s="14"/>
      <c r="S643" s="28"/>
      <c r="T643" s="15"/>
      <c r="U643" s="16"/>
      <c r="V643" s="17"/>
      <c r="W643" s="17"/>
      <c r="X643" s="11"/>
      <c r="Y643" s="18"/>
      <c r="Z643" s="19"/>
      <c r="AA643" s="18"/>
      <c r="AB643" s="10"/>
      <c r="AC643" s="29"/>
    </row>
    <row r="644" spans="13:29" x14ac:dyDescent="0.25">
      <c r="M644" s="9"/>
      <c r="N644" s="10"/>
      <c r="O644" s="11"/>
      <c r="P644" s="12"/>
      <c r="Q644" s="27"/>
      <c r="R644" s="14"/>
      <c r="S644" s="28"/>
      <c r="T644" s="15"/>
      <c r="U644" s="16"/>
      <c r="V644" s="17"/>
      <c r="W644" s="17"/>
      <c r="X644" s="11"/>
      <c r="Y644" s="18"/>
      <c r="Z644" s="19"/>
      <c r="AA644" s="18"/>
      <c r="AB644" s="10"/>
      <c r="AC644" s="29"/>
    </row>
    <row r="645" spans="13:29" x14ac:dyDescent="0.25">
      <c r="M645" s="9"/>
      <c r="N645" s="10"/>
      <c r="O645" s="11"/>
      <c r="P645" s="12"/>
      <c r="Q645" s="27"/>
      <c r="R645" s="14"/>
      <c r="S645" s="28"/>
      <c r="T645" s="15"/>
      <c r="U645" s="16"/>
      <c r="V645" s="17"/>
      <c r="W645" s="17"/>
      <c r="X645" s="11"/>
      <c r="Y645" s="18"/>
      <c r="Z645" s="19"/>
      <c r="AA645" s="18"/>
      <c r="AB645" s="20"/>
      <c r="AC645" s="29"/>
    </row>
    <row r="646" spans="13:29" x14ac:dyDescent="0.25">
      <c r="M646" s="9"/>
      <c r="N646" s="10"/>
      <c r="O646" s="11"/>
      <c r="P646" s="12"/>
      <c r="Q646" s="27"/>
      <c r="R646" s="14"/>
      <c r="S646" s="28"/>
      <c r="T646" s="15"/>
      <c r="U646" s="16"/>
      <c r="V646" s="17"/>
      <c r="W646" s="17"/>
      <c r="X646" s="11"/>
      <c r="Y646" s="18"/>
      <c r="Z646" s="19"/>
      <c r="AA646" s="18"/>
      <c r="AB646" s="20"/>
      <c r="AC646" s="29"/>
    </row>
    <row r="647" spans="13:29" x14ac:dyDescent="0.25">
      <c r="M647" s="9"/>
      <c r="N647" s="10"/>
      <c r="O647" s="11"/>
      <c r="P647" s="12"/>
      <c r="Q647" s="27"/>
      <c r="R647" s="14"/>
      <c r="S647" s="28"/>
      <c r="T647" s="15"/>
      <c r="U647" s="16"/>
      <c r="V647" s="17"/>
      <c r="W647" s="17"/>
      <c r="X647" s="11"/>
      <c r="Y647" s="18"/>
      <c r="Z647" s="19"/>
      <c r="AA647" s="18"/>
      <c r="AB647" s="20"/>
      <c r="AC647" s="29"/>
    </row>
    <row r="648" spans="13:29" x14ac:dyDescent="0.25">
      <c r="M648" s="9"/>
      <c r="N648" s="10"/>
      <c r="O648" s="11"/>
      <c r="P648" s="12"/>
      <c r="Q648" s="27"/>
      <c r="R648" s="14"/>
      <c r="S648" s="28"/>
      <c r="T648" s="15"/>
      <c r="U648" s="16"/>
      <c r="V648" s="17"/>
      <c r="W648" s="17"/>
      <c r="X648" s="11"/>
      <c r="Y648" s="18"/>
      <c r="Z648" s="19"/>
      <c r="AA648" s="18"/>
      <c r="AB648" s="20"/>
      <c r="AC648" s="29"/>
    </row>
    <row r="649" spans="13:29" x14ac:dyDescent="0.25">
      <c r="M649" s="9"/>
      <c r="N649" s="10"/>
      <c r="O649" s="11"/>
      <c r="P649" s="12"/>
      <c r="Q649" s="27"/>
      <c r="R649" s="14"/>
      <c r="S649" s="28"/>
      <c r="T649" s="15"/>
      <c r="U649" s="16"/>
      <c r="V649" s="17"/>
      <c r="W649" s="17"/>
      <c r="X649" s="11"/>
      <c r="Y649" s="18"/>
      <c r="Z649" s="19"/>
      <c r="AA649" s="18"/>
      <c r="AB649" s="20"/>
      <c r="AC649" s="29"/>
    </row>
    <row r="650" spans="13:29" x14ac:dyDescent="0.25">
      <c r="M650" s="9"/>
      <c r="N650" s="10"/>
      <c r="O650" s="11"/>
      <c r="P650" s="12"/>
      <c r="Q650" s="27"/>
      <c r="R650" s="14"/>
      <c r="S650" s="28"/>
      <c r="T650" s="15"/>
      <c r="U650" s="16"/>
      <c r="V650" s="17"/>
      <c r="W650" s="17"/>
      <c r="X650" s="11"/>
      <c r="Y650" s="18"/>
      <c r="Z650" s="19"/>
      <c r="AA650" s="18"/>
      <c r="AB650" s="20"/>
      <c r="AC650" s="29"/>
    </row>
    <row r="651" spans="13:29" x14ac:dyDescent="0.25">
      <c r="M651" s="9"/>
      <c r="N651" s="10"/>
      <c r="O651" s="11"/>
      <c r="P651" s="12"/>
      <c r="Q651" s="27"/>
      <c r="R651" s="14"/>
      <c r="S651" s="28"/>
      <c r="T651" s="15"/>
      <c r="U651" s="16"/>
      <c r="V651" s="17"/>
      <c r="W651" s="17"/>
      <c r="X651" s="11"/>
      <c r="Y651" s="18"/>
      <c r="Z651" s="19"/>
      <c r="AA651" s="18"/>
      <c r="AB651" s="20"/>
      <c r="AC651" s="29"/>
    </row>
    <row r="652" spans="13:29" x14ac:dyDescent="0.25">
      <c r="M652" s="9"/>
      <c r="N652" s="10"/>
      <c r="O652" s="11"/>
      <c r="P652" s="12"/>
      <c r="Q652" s="27"/>
      <c r="R652" s="14"/>
      <c r="S652" s="28"/>
      <c r="T652" s="15"/>
      <c r="U652" s="16"/>
      <c r="V652" s="17"/>
      <c r="W652" s="17"/>
      <c r="X652" s="11"/>
      <c r="Y652" s="18"/>
      <c r="Z652" s="19"/>
      <c r="AA652" s="18"/>
      <c r="AB652" s="20"/>
      <c r="AC652" s="29"/>
    </row>
    <row r="653" spans="13:29" x14ac:dyDescent="0.25">
      <c r="M653" s="9"/>
      <c r="N653" s="10"/>
      <c r="O653" s="11"/>
      <c r="P653" s="12"/>
      <c r="Q653" s="27"/>
      <c r="R653" s="14"/>
      <c r="S653" s="28"/>
      <c r="T653" s="15"/>
      <c r="U653" s="16"/>
      <c r="V653" s="17"/>
      <c r="W653" s="17"/>
      <c r="X653" s="11"/>
      <c r="Y653" s="18"/>
      <c r="Z653" s="19"/>
      <c r="AA653" s="18"/>
      <c r="AB653" s="20"/>
      <c r="AC653" s="29"/>
    </row>
    <row r="654" spans="13:29" x14ac:dyDescent="0.25">
      <c r="M654" s="9"/>
      <c r="N654" s="10"/>
      <c r="O654" s="11"/>
      <c r="P654" s="12"/>
      <c r="Q654" s="27"/>
      <c r="R654" s="14"/>
      <c r="S654" s="28"/>
      <c r="T654" s="15"/>
      <c r="U654" s="16"/>
      <c r="V654" s="17"/>
      <c r="W654" s="17"/>
      <c r="X654" s="11"/>
      <c r="Y654" s="18"/>
      <c r="Z654" s="19"/>
      <c r="AA654" s="18"/>
      <c r="AB654" s="20"/>
      <c r="AC654" s="29"/>
    </row>
    <row r="655" spans="13:29" x14ac:dyDescent="0.25">
      <c r="M655" s="9"/>
      <c r="N655" s="10"/>
      <c r="O655" s="11"/>
      <c r="P655" s="12"/>
      <c r="Q655" s="27"/>
      <c r="R655" s="14"/>
      <c r="S655" s="28"/>
      <c r="T655" s="15"/>
      <c r="U655" s="16"/>
      <c r="V655" s="17"/>
      <c r="W655" s="17"/>
      <c r="X655" s="11"/>
      <c r="Y655" s="18"/>
      <c r="Z655" s="19"/>
      <c r="AA655" s="18"/>
      <c r="AB655" s="20"/>
      <c r="AC655" s="29"/>
    </row>
    <row r="656" spans="13:29" x14ac:dyDescent="0.25">
      <c r="M656" s="9"/>
      <c r="N656" s="10"/>
      <c r="O656" s="11"/>
      <c r="P656" s="12"/>
      <c r="Q656" s="27"/>
      <c r="R656" s="14"/>
      <c r="S656" s="28"/>
      <c r="T656" s="15"/>
      <c r="U656" s="16"/>
      <c r="V656" s="17"/>
      <c r="W656" s="17"/>
      <c r="X656" s="11"/>
      <c r="Y656" s="18"/>
      <c r="Z656" s="19"/>
      <c r="AA656" s="18"/>
      <c r="AB656" s="20"/>
      <c r="AC656" s="29"/>
    </row>
    <row r="657" spans="13:29" x14ac:dyDescent="0.25">
      <c r="M657" s="9"/>
      <c r="N657" s="10"/>
      <c r="O657" s="11"/>
      <c r="P657" s="12"/>
      <c r="Q657" s="27"/>
      <c r="R657" s="14"/>
      <c r="S657" s="28"/>
      <c r="T657" s="15"/>
      <c r="U657" s="16"/>
      <c r="V657" s="17"/>
      <c r="W657" s="17"/>
      <c r="X657" s="11"/>
      <c r="Y657" s="18"/>
      <c r="Z657" s="19"/>
      <c r="AA657" s="18"/>
      <c r="AB657" s="20"/>
      <c r="AC657" s="29"/>
    </row>
    <row r="658" spans="13:29" x14ac:dyDescent="0.25">
      <c r="M658" s="9"/>
      <c r="N658" s="10"/>
      <c r="O658" s="11"/>
      <c r="P658" s="12"/>
      <c r="Q658" s="27"/>
      <c r="R658" s="14"/>
      <c r="S658" s="28"/>
      <c r="T658" s="15"/>
      <c r="U658" s="16"/>
      <c r="V658" s="17"/>
      <c r="W658" s="17"/>
      <c r="X658" s="11"/>
      <c r="Y658" s="18"/>
      <c r="Z658" s="19"/>
      <c r="AA658" s="18"/>
      <c r="AB658" s="20"/>
      <c r="AC658" s="29"/>
    </row>
    <row r="659" spans="13:29" x14ac:dyDescent="0.25">
      <c r="M659" s="9"/>
      <c r="N659" s="10"/>
      <c r="O659" s="11"/>
      <c r="P659" s="12"/>
      <c r="Q659" s="27"/>
      <c r="R659" s="14"/>
      <c r="S659" s="28"/>
      <c r="T659" s="27"/>
      <c r="U659" s="16"/>
      <c r="V659" s="17"/>
      <c r="W659" s="17"/>
      <c r="X659" s="11"/>
      <c r="Y659" s="18"/>
      <c r="Z659" s="19"/>
      <c r="AA659" s="18"/>
      <c r="AB659" s="20"/>
      <c r="AC659" s="29"/>
    </row>
    <row r="660" spans="13:29" x14ac:dyDescent="0.25">
      <c r="M660" s="9"/>
      <c r="N660" s="10"/>
      <c r="O660" s="11"/>
      <c r="P660" s="12"/>
      <c r="Q660" s="27"/>
      <c r="R660" s="14"/>
      <c r="S660" s="28"/>
      <c r="T660" s="15"/>
      <c r="U660" s="16"/>
      <c r="V660" s="17"/>
      <c r="W660" s="17"/>
      <c r="X660" s="11"/>
      <c r="Y660" s="18"/>
      <c r="Z660" s="19"/>
      <c r="AA660" s="18"/>
      <c r="AB660" s="20"/>
      <c r="AC660" s="29"/>
    </row>
    <row r="661" spans="13:29" x14ac:dyDescent="0.25">
      <c r="M661" s="9"/>
      <c r="N661" s="10"/>
      <c r="O661" s="11"/>
      <c r="P661" s="12"/>
      <c r="Q661" s="27"/>
      <c r="R661" s="14"/>
      <c r="S661" s="28"/>
      <c r="T661" s="15"/>
      <c r="U661" s="16"/>
      <c r="V661" s="17"/>
      <c r="W661" s="17"/>
      <c r="X661" s="11"/>
      <c r="Y661" s="18"/>
      <c r="Z661" s="19"/>
      <c r="AA661" s="18"/>
      <c r="AB661" s="20"/>
      <c r="AC661" s="29"/>
    </row>
    <row r="662" spans="13:29" x14ac:dyDescent="0.25">
      <c r="M662" s="9"/>
      <c r="N662" s="10"/>
      <c r="O662" s="11"/>
      <c r="P662" s="12"/>
      <c r="Q662" s="27"/>
      <c r="R662" s="14"/>
      <c r="S662" s="28"/>
      <c r="T662" s="15"/>
      <c r="U662" s="16"/>
      <c r="V662" s="17"/>
      <c r="W662" s="17"/>
      <c r="X662" s="11"/>
      <c r="Y662" s="18"/>
      <c r="Z662" s="19"/>
      <c r="AA662" s="18"/>
      <c r="AB662" s="20"/>
      <c r="AC662" s="29"/>
    </row>
    <row r="663" spans="13:29" x14ac:dyDescent="0.25">
      <c r="M663" s="9"/>
      <c r="N663" s="10"/>
      <c r="O663" s="11"/>
      <c r="P663" s="12"/>
      <c r="Q663" s="27"/>
      <c r="R663" s="14"/>
      <c r="S663" s="28"/>
      <c r="T663" s="15"/>
      <c r="U663" s="16"/>
      <c r="V663" s="17"/>
      <c r="W663" s="17"/>
      <c r="X663" s="11"/>
      <c r="Y663" s="18"/>
      <c r="Z663" s="19"/>
      <c r="AA663" s="18"/>
      <c r="AB663" s="20"/>
      <c r="AC663" s="29"/>
    </row>
    <row r="664" spans="13:29" x14ac:dyDescent="0.25">
      <c r="M664" s="9"/>
      <c r="N664" s="10"/>
      <c r="O664" s="11"/>
      <c r="P664" s="12"/>
      <c r="Q664" s="27"/>
      <c r="R664" s="42"/>
      <c r="S664" s="28"/>
      <c r="T664" s="15"/>
      <c r="U664" s="16"/>
      <c r="V664" s="17"/>
      <c r="W664" s="17"/>
      <c r="X664" s="11"/>
      <c r="Y664" s="18"/>
      <c r="Z664" s="19"/>
      <c r="AA664" s="18"/>
      <c r="AB664" s="20"/>
      <c r="AC664" s="29"/>
    </row>
    <row r="665" spans="13:29" x14ac:dyDescent="0.25">
      <c r="M665" s="9"/>
      <c r="N665" s="10"/>
      <c r="O665" s="11"/>
      <c r="P665" s="12"/>
      <c r="Q665" s="27"/>
      <c r="R665" s="14"/>
      <c r="S665" s="28"/>
      <c r="T665" s="15"/>
      <c r="U665" s="16"/>
      <c r="V665" s="17"/>
      <c r="W665" s="17"/>
      <c r="X665" s="11"/>
      <c r="Y665" s="18"/>
      <c r="Z665" s="19"/>
      <c r="AA665" s="18"/>
      <c r="AB665" s="20"/>
      <c r="AC665" s="29"/>
    </row>
    <row r="666" spans="13:29" x14ac:dyDescent="0.25">
      <c r="M666" s="9"/>
      <c r="N666" s="10"/>
      <c r="O666" s="11"/>
      <c r="P666" s="12"/>
      <c r="Q666" s="27"/>
      <c r="R666" s="14"/>
      <c r="S666" s="28"/>
      <c r="T666" s="15"/>
      <c r="U666" s="16"/>
      <c r="V666" s="17"/>
      <c r="W666" s="17"/>
      <c r="X666" s="11"/>
      <c r="Y666" s="18"/>
      <c r="Z666" s="19"/>
      <c r="AA666" s="18"/>
      <c r="AB666" s="20"/>
      <c r="AC666" s="29"/>
    </row>
    <row r="667" spans="13:29" x14ac:dyDescent="0.25">
      <c r="M667" s="9"/>
      <c r="N667" s="10"/>
      <c r="O667" s="11"/>
      <c r="P667" s="12"/>
      <c r="Q667" s="27"/>
      <c r="R667" s="14"/>
      <c r="S667" s="28"/>
      <c r="T667" s="15"/>
      <c r="U667" s="16"/>
      <c r="V667" s="17"/>
      <c r="W667" s="17"/>
      <c r="X667" s="11"/>
      <c r="Y667" s="18"/>
      <c r="Z667" s="19"/>
      <c r="AA667" s="18"/>
      <c r="AB667" s="20"/>
      <c r="AC667" s="29"/>
    </row>
    <row r="668" spans="13:29" x14ac:dyDescent="0.25">
      <c r="M668" s="9"/>
      <c r="N668" s="10"/>
      <c r="O668" s="11"/>
      <c r="P668" s="12"/>
      <c r="Q668" s="27"/>
      <c r="R668" s="14"/>
      <c r="S668" s="28"/>
      <c r="T668" s="15"/>
      <c r="U668" s="16"/>
      <c r="V668" s="17"/>
      <c r="W668" s="17"/>
      <c r="X668" s="11"/>
      <c r="Y668" s="18"/>
      <c r="Z668" s="19"/>
      <c r="AA668" s="18"/>
      <c r="AB668" s="20"/>
      <c r="AC668" s="29"/>
    </row>
    <row r="669" spans="13:29" x14ac:dyDescent="0.25">
      <c r="M669" s="9"/>
      <c r="N669" s="10"/>
      <c r="O669" s="11"/>
      <c r="P669" s="12"/>
      <c r="Q669" s="27"/>
      <c r="R669" s="14"/>
      <c r="S669" s="28"/>
      <c r="T669" s="15"/>
      <c r="U669" s="16"/>
      <c r="V669" s="17"/>
      <c r="W669" s="17"/>
      <c r="X669" s="11"/>
      <c r="Y669" s="18"/>
      <c r="Z669" s="19"/>
      <c r="AA669" s="18"/>
      <c r="AB669" s="20"/>
      <c r="AC669" s="29"/>
    </row>
    <row r="670" spans="13:29" x14ac:dyDescent="0.25">
      <c r="M670" s="9"/>
      <c r="N670" s="10"/>
      <c r="O670" s="11"/>
      <c r="P670" s="12"/>
      <c r="Q670" s="27"/>
      <c r="R670" s="14"/>
      <c r="S670" s="28"/>
      <c r="T670" s="15"/>
      <c r="U670" s="16"/>
      <c r="V670" s="17"/>
      <c r="W670" s="17"/>
      <c r="X670" s="11"/>
      <c r="Y670" s="18"/>
      <c r="Z670" s="19"/>
      <c r="AA670" s="18"/>
      <c r="AB670" s="20"/>
      <c r="AC670" s="29"/>
    </row>
    <row r="671" spans="13:29" x14ac:dyDescent="0.25">
      <c r="M671" s="9"/>
      <c r="N671" s="10"/>
      <c r="O671" s="11"/>
      <c r="P671" s="12"/>
      <c r="Q671" s="27"/>
      <c r="R671" s="14"/>
      <c r="S671" s="28"/>
      <c r="T671" s="15"/>
      <c r="U671" s="16"/>
      <c r="V671" s="17"/>
      <c r="W671" s="17"/>
      <c r="X671" s="11"/>
      <c r="Y671" s="18"/>
      <c r="Z671" s="19"/>
      <c r="AA671" s="18"/>
      <c r="AB671" s="20"/>
      <c r="AC671" s="29"/>
    </row>
    <row r="672" spans="13:29" x14ac:dyDescent="0.25">
      <c r="M672" s="9"/>
      <c r="N672" s="10"/>
      <c r="O672" s="11"/>
      <c r="P672" s="12"/>
      <c r="Q672" s="27"/>
      <c r="R672" s="14"/>
      <c r="S672" s="15"/>
      <c r="T672" s="15"/>
      <c r="U672" s="16"/>
      <c r="V672" s="17"/>
      <c r="W672" s="17"/>
      <c r="X672" s="11"/>
      <c r="Y672" s="18"/>
      <c r="Z672" s="19"/>
      <c r="AA672" s="18"/>
      <c r="AB672" s="20"/>
      <c r="AC672" s="29"/>
    </row>
    <row r="673" spans="13:29" x14ac:dyDescent="0.25">
      <c r="M673" s="9"/>
      <c r="N673" s="10"/>
      <c r="O673" s="11"/>
      <c r="P673" s="12"/>
      <c r="Q673" s="27"/>
      <c r="R673" s="14"/>
      <c r="S673" s="28"/>
      <c r="T673" s="15"/>
      <c r="U673" s="16"/>
      <c r="V673" s="17"/>
      <c r="W673" s="17"/>
      <c r="X673" s="11"/>
      <c r="Y673" s="18"/>
      <c r="Z673" s="19"/>
      <c r="AA673" s="18"/>
      <c r="AB673" s="20"/>
      <c r="AC673" s="29"/>
    </row>
    <row r="674" spans="13:29" x14ac:dyDescent="0.25">
      <c r="M674" s="9"/>
      <c r="N674" s="10"/>
      <c r="O674" s="11"/>
      <c r="P674" s="12"/>
      <c r="Q674" s="27"/>
      <c r="R674" s="14"/>
      <c r="S674" s="28"/>
      <c r="T674" s="15"/>
      <c r="U674" s="16"/>
      <c r="V674" s="17"/>
      <c r="W674" s="17"/>
      <c r="X674" s="11"/>
      <c r="Y674" s="18"/>
      <c r="Z674" s="19"/>
      <c r="AA674" s="18"/>
      <c r="AB674" s="20"/>
      <c r="AC674" s="29"/>
    </row>
    <row r="675" spans="13:29" x14ac:dyDescent="0.25">
      <c r="M675" s="9"/>
      <c r="N675" s="10"/>
      <c r="O675" s="11"/>
      <c r="P675" s="12"/>
      <c r="Q675" s="27"/>
      <c r="R675" s="14"/>
      <c r="S675" s="28"/>
      <c r="T675" s="15"/>
      <c r="U675" s="16"/>
      <c r="V675" s="17"/>
      <c r="W675" s="17"/>
      <c r="X675" s="11"/>
      <c r="Y675" s="18"/>
      <c r="Z675" s="19"/>
      <c r="AA675" s="18"/>
      <c r="AB675" s="20"/>
      <c r="AC675" s="29"/>
    </row>
    <row r="676" spans="13:29" x14ac:dyDescent="0.25">
      <c r="M676" s="9"/>
      <c r="N676" s="29"/>
      <c r="O676" s="11"/>
      <c r="P676" s="12"/>
      <c r="Q676" s="27"/>
      <c r="R676" s="14"/>
      <c r="S676" s="28"/>
      <c r="T676" s="15"/>
      <c r="U676" s="16"/>
      <c r="V676" s="17"/>
      <c r="W676" s="17"/>
      <c r="X676" s="11"/>
      <c r="Y676" s="18"/>
      <c r="Z676" s="19"/>
      <c r="AA676" s="18"/>
      <c r="AB676" s="20"/>
      <c r="AC676" s="29"/>
    </row>
    <row r="677" spans="13:29" x14ac:dyDescent="0.25">
      <c r="M677" s="9"/>
      <c r="N677" s="10"/>
      <c r="O677" s="11"/>
      <c r="P677" s="12"/>
      <c r="Q677" s="27"/>
      <c r="R677" s="14"/>
      <c r="S677" s="28"/>
      <c r="T677" s="15"/>
      <c r="U677" s="16"/>
      <c r="V677" s="17"/>
      <c r="W677" s="17"/>
      <c r="X677" s="11"/>
      <c r="Y677" s="18"/>
      <c r="Z677" s="19"/>
      <c r="AA677" s="18"/>
      <c r="AB677" s="20"/>
      <c r="AC677" s="29"/>
    </row>
    <row r="678" spans="13:29" x14ac:dyDescent="0.25">
      <c r="M678" s="9"/>
      <c r="N678" s="10"/>
      <c r="O678" s="11"/>
      <c r="P678" s="12"/>
      <c r="Q678" s="27"/>
      <c r="R678" s="14"/>
      <c r="S678" s="28"/>
      <c r="T678" s="15"/>
      <c r="U678" s="16"/>
      <c r="V678" s="17"/>
      <c r="W678" s="17"/>
      <c r="X678" s="11"/>
      <c r="Y678" s="18"/>
      <c r="Z678" s="19"/>
      <c r="AA678" s="18"/>
      <c r="AB678" s="20"/>
      <c r="AC678" s="29"/>
    </row>
    <row r="679" spans="13:29" x14ac:dyDescent="0.25">
      <c r="M679" s="9"/>
      <c r="N679" s="10"/>
      <c r="O679" s="11"/>
      <c r="P679" s="12"/>
      <c r="Q679" s="27"/>
      <c r="R679" s="14"/>
      <c r="S679" s="28"/>
      <c r="T679" s="15"/>
      <c r="U679" s="16"/>
      <c r="V679" s="17"/>
      <c r="W679" s="17"/>
      <c r="X679" s="11"/>
      <c r="Y679" s="18"/>
      <c r="Z679" s="19"/>
      <c r="AA679" s="18"/>
      <c r="AB679" s="20"/>
      <c r="AC679" s="29"/>
    </row>
    <row r="680" spans="13:29" x14ac:dyDescent="0.25">
      <c r="M680" s="9"/>
      <c r="N680" s="10"/>
      <c r="O680" s="11"/>
      <c r="P680" s="12"/>
      <c r="Q680" s="27"/>
      <c r="R680" s="14"/>
      <c r="S680" s="28"/>
      <c r="T680" s="15"/>
      <c r="U680" s="16"/>
      <c r="V680" s="17"/>
      <c r="W680" s="17"/>
      <c r="X680" s="11"/>
      <c r="Y680" s="18"/>
      <c r="Z680" s="19"/>
      <c r="AA680" s="18"/>
      <c r="AB680" s="20"/>
      <c r="AC680" s="29"/>
    </row>
    <row r="681" spans="13:29" x14ac:dyDescent="0.25">
      <c r="M681" s="9"/>
      <c r="N681" s="10"/>
      <c r="O681" s="11"/>
      <c r="P681" s="12"/>
      <c r="Q681" s="27"/>
      <c r="R681" s="14"/>
      <c r="S681" s="28"/>
      <c r="T681" s="15"/>
      <c r="U681" s="16"/>
      <c r="V681" s="17"/>
      <c r="W681" s="17"/>
      <c r="X681" s="11"/>
      <c r="Y681" s="18"/>
      <c r="Z681" s="19"/>
      <c r="AA681" s="18"/>
      <c r="AB681" s="20"/>
      <c r="AC681" s="29"/>
    </row>
    <row r="682" spans="13:29" x14ac:dyDescent="0.25">
      <c r="M682" s="9"/>
      <c r="N682" s="10"/>
      <c r="O682" s="11"/>
      <c r="P682" s="12"/>
      <c r="Q682" s="27"/>
      <c r="R682" s="14"/>
      <c r="S682" s="28"/>
      <c r="T682" s="15"/>
      <c r="U682" s="16"/>
      <c r="V682" s="17"/>
      <c r="W682" s="17"/>
      <c r="X682" s="11"/>
      <c r="Y682" s="18"/>
      <c r="Z682" s="19"/>
      <c r="AA682" s="18"/>
      <c r="AB682" s="20"/>
      <c r="AC682" s="29"/>
    </row>
    <row r="683" spans="13:29" x14ac:dyDescent="0.25">
      <c r="M683" s="9"/>
      <c r="N683" s="10"/>
      <c r="O683" s="11"/>
      <c r="P683" s="12"/>
      <c r="Q683" s="27"/>
      <c r="R683" s="14"/>
      <c r="S683" s="28"/>
      <c r="T683" s="15"/>
      <c r="U683" s="16"/>
      <c r="V683" s="17"/>
      <c r="W683" s="17"/>
      <c r="X683" s="11"/>
      <c r="Y683" s="18"/>
      <c r="Z683" s="19"/>
      <c r="AA683" s="18"/>
      <c r="AB683" s="20"/>
      <c r="AC683" s="29"/>
    </row>
    <row r="684" spans="13:29" x14ac:dyDescent="0.25">
      <c r="M684" s="9"/>
      <c r="N684" s="10"/>
      <c r="O684" s="11"/>
      <c r="P684" s="12"/>
      <c r="Q684" s="27"/>
      <c r="R684" s="14"/>
      <c r="S684" s="28"/>
      <c r="T684" s="15"/>
      <c r="U684" s="16"/>
      <c r="V684" s="17"/>
      <c r="W684" s="17"/>
      <c r="X684" s="11"/>
      <c r="Y684" s="18"/>
      <c r="Z684" s="19"/>
      <c r="AA684" s="18"/>
      <c r="AB684" s="20"/>
      <c r="AC684" s="29"/>
    </row>
    <row r="685" spans="13:29" x14ac:dyDescent="0.25">
      <c r="M685" s="9"/>
      <c r="N685" s="10"/>
      <c r="O685" s="11"/>
      <c r="P685" s="12"/>
      <c r="Q685" s="27"/>
      <c r="R685" s="14"/>
      <c r="S685" s="28"/>
      <c r="T685" s="15"/>
      <c r="U685" s="16"/>
      <c r="V685" s="17"/>
      <c r="W685" s="17"/>
      <c r="X685" s="11"/>
      <c r="Y685" s="18"/>
      <c r="Z685" s="19"/>
      <c r="AA685" s="18"/>
      <c r="AB685" s="20"/>
      <c r="AC685" s="29"/>
    </row>
    <row r="686" spans="13:29" x14ac:dyDescent="0.25">
      <c r="M686" s="9"/>
      <c r="N686" s="10"/>
      <c r="O686" s="11"/>
      <c r="P686" s="12"/>
      <c r="Q686" s="27"/>
      <c r="R686" s="14"/>
      <c r="S686" s="28"/>
      <c r="T686" s="15"/>
      <c r="U686" s="16"/>
      <c r="V686" s="17"/>
      <c r="W686" s="17"/>
      <c r="X686" s="11"/>
      <c r="Y686" s="18"/>
      <c r="Z686" s="19"/>
      <c r="AA686" s="18"/>
      <c r="AB686" s="20"/>
      <c r="AC686" s="29"/>
    </row>
    <row r="687" spans="13:29" x14ac:dyDescent="0.25">
      <c r="M687" s="9"/>
      <c r="N687" s="10"/>
      <c r="O687" s="11"/>
      <c r="P687" s="12"/>
      <c r="Q687" s="27"/>
      <c r="R687" s="14"/>
      <c r="S687" s="28"/>
      <c r="T687" s="15"/>
      <c r="U687" s="16"/>
      <c r="V687" s="17"/>
      <c r="W687" s="17"/>
      <c r="X687" s="11"/>
      <c r="Y687" s="18"/>
      <c r="Z687" s="19"/>
      <c r="AA687" s="18"/>
      <c r="AB687" s="20"/>
      <c r="AC687" s="29"/>
    </row>
    <row r="688" spans="13:29" x14ac:dyDescent="0.25">
      <c r="M688" s="9"/>
      <c r="N688" s="10"/>
      <c r="O688" s="11"/>
      <c r="P688" s="12"/>
      <c r="Q688" s="27"/>
      <c r="R688" s="14"/>
      <c r="S688" s="28"/>
      <c r="T688" s="15"/>
      <c r="U688" s="16"/>
      <c r="V688" s="17"/>
      <c r="W688" s="17"/>
      <c r="X688" s="11"/>
      <c r="Y688" s="18"/>
      <c r="Z688" s="19"/>
      <c r="AA688" s="18"/>
      <c r="AB688" s="20"/>
      <c r="AC688" s="29"/>
    </row>
    <row r="689" spans="13:29" x14ac:dyDescent="0.25">
      <c r="M689" s="9"/>
      <c r="N689" s="10"/>
      <c r="O689" s="11"/>
      <c r="P689" s="12"/>
      <c r="Q689" s="27"/>
      <c r="R689" s="14"/>
      <c r="S689" s="28"/>
      <c r="T689" s="15"/>
      <c r="U689" s="16"/>
      <c r="V689" s="17"/>
      <c r="W689" s="17"/>
      <c r="X689" s="11"/>
      <c r="Y689" s="18"/>
      <c r="Z689" s="19"/>
      <c r="AA689" s="18"/>
      <c r="AB689" s="20"/>
      <c r="AC689" s="29"/>
    </row>
    <row r="690" spans="13:29" x14ac:dyDescent="0.25">
      <c r="M690" s="9"/>
      <c r="N690" s="10"/>
      <c r="O690" s="11"/>
      <c r="P690" s="12"/>
      <c r="Q690" s="27"/>
      <c r="R690" s="14"/>
      <c r="S690" s="28"/>
      <c r="T690" s="15"/>
      <c r="U690" s="16"/>
      <c r="V690" s="17"/>
      <c r="W690" s="17"/>
      <c r="X690" s="11"/>
      <c r="Y690" s="18"/>
      <c r="Z690" s="19"/>
      <c r="AA690" s="18"/>
      <c r="AB690" s="20"/>
      <c r="AC690" s="29"/>
    </row>
    <row r="691" spans="13:29" x14ac:dyDescent="0.25">
      <c r="M691" s="9"/>
      <c r="N691" s="10"/>
      <c r="O691" s="11"/>
      <c r="P691" s="12"/>
      <c r="Q691" s="27"/>
      <c r="R691" s="14"/>
      <c r="S691" s="28"/>
      <c r="T691" s="15"/>
      <c r="U691" s="16"/>
      <c r="V691" s="17"/>
      <c r="W691" s="17"/>
      <c r="X691" s="11"/>
      <c r="Y691" s="18"/>
      <c r="Z691" s="19"/>
      <c r="AA691" s="18"/>
      <c r="AB691" s="20"/>
      <c r="AC691" s="29"/>
    </row>
    <row r="692" spans="13:29" x14ac:dyDescent="0.25">
      <c r="M692" s="9"/>
      <c r="N692" s="10"/>
      <c r="O692" s="11"/>
      <c r="P692" s="12"/>
      <c r="Q692" s="27"/>
      <c r="R692" s="14"/>
      <c r="S692" s="28"/>
      <c r="T692" s="15"/>
      <c r="U692" s="16"/>
      <c r="V692" s="17"/>
      <c r="W692" s="17"/>
      <c r="X692" s="11"/>
      <c r="Y692" s="18"/>
      <c r="Z692" s="19"/>
      <c r="AA692" s="18"/>
      <c r="AB692" s="20"/>
      <c r="AC692" s="29"/>
    </row>
    <row r="693" spans="13:29" x14ac:dyDescent="0.25">
      <c r="M693" s="9"/>
      <c r="N693" s="10"/>
      <c r="O693" s="11"/>
      <c r="P693" s="12"/>
      <c r="Q693" s="27"/>
      <c r="R693" s="14"/>
      <c r="S693" s="28"/>
      <c r="T693" s="15"/>
      <c r="U693" s="16"/>
      <c r="V693" s="17"/>
      <c r="W693" s="17"/>
      <c r="X693" s="11"/>
      <c r="Y693" s="18"/>
      <c r="Z693" s="19"/>
      <c r="AA693" s="18"/>
      <c r="AB693" s="20"/>
      <c r="AC693" s="29"/>
    </row>
    <row r="694" spans="13:29" x14ac:dyDescent="0.25">
      <c r="M694" s="9"/>
      <c r="N694" s="10"/>
      <c r="O694" s="11"/>
      <c r="P694" s="12"/>
      <c r="Q694" s="27"/>
      <c r="R694" s="14"/>
      <c r="S694" s="28"/>
      <c r="T694" s="15"/>
      <c r="U694" s="16"/>
      <c r="V694" s="17"/>
      <c r="W694" s="17"/>
      <c r="X694" s="11"/>
      <c r="Y694" s="18"/>
      <c r="Z694" s="19"/>
      <c r="AA694" s="18"/>
      <c r="AB694" s="20"/>
      <c r="AC694" s="29"/>
    </row>
    <row r="695" spans="13:29" x14ac:dyDescent="0.25">
      <c r="M695" s="9"/>
      <c r="N695" s="10"/>
      <c r="O695" s="11"/>
      <c r="P695" s="12"/>
      <c r="Q695" s="27"/>
      <c r="R695" s="14"/>
      <c r="S695" s="28"/>
      <c r="T695" s="15"/>
      <c r="U695" s="16"/>
      <c r="V695" s="17"/>
      <c r="W695" s="17"/>
      <c r="X695" s="11"/>
      <c r="Y695" s="18"/>
      <c r="Z695" s="19"/>
      <c r="AA695" s="18"/>
      <c r="AB695" s="20"/>
      <c r="AC695" s="29"/>
    </row>
    <row r="696" spans="13:29" x14ac:dyDescent="0.25">
      <c r="M696" s="9"/>
      <c r="N696" s="10"/>
      <c r="O696" s="11"/>
      <c r="P696" s="12"/>
      <c r="Q696" s="27"/>
      <c r="R696" s="14"/>
      <c r="S696" s="28"/>
      <c r="T696" s="15"/>
      <c r="U696" s="16"/>
      <c r="V696" s="17"/>
      <c r="W696" s="17"/>
      <c r="X696" s="11"/>
      <c r="Y696" s="18"/>
      <c r="Z696" s="19"/>
      <c r="AA696" s="18"/>
      <c r="AB696" s="20"/>
      <c r="AC696" s="29"/>
    </row>
    <row r="697" spans="13:29" x14ac:dyDescent="0.25">
      <c r="M697" s="9"/>
      <c r="N697" s="10"/>
      <c r="O697" s="11"/>
      <c r="P697" s="12"/>
      <c r="Q697" s="27"/>
      <c r="R697" s="14"/>
      <c r="S697" s="28"/>
      <c r="T697" s="15"/>
      <c r="U697" s="16"/>
      <c r="V697" s="17"/>
      <c r="W697" s="17"/>
      <c r="X697" s="11"/>
      <c r="Y697" s="18"/>
      <c r="Z697" s="19"/>
      <c r="AA697" s="18"/>
      <c r="AB697" s="20"/>
      <c r="AC697" s="29"/>
    </row>
    <row r="698" spans="13:29" x14ac:dyDescent="0.25">
      <c r="M698" s="9"/>
      <c r="N698" s="10"/>
      <c r="O698" s="11"/>
      <c r="P698" s="12"/>
      <c r="Q698" s="27"/>
      <c r="R698" s="14"/>
      <c r="S698" s="28"/>
      <c r="T698" s="15"/>
      <c r="U698" s="16"/>
      <c r="V698" s="17"/>
      <c r="W698" s="17"/>
      <c r="X698" s="11"/>
      <c r="Y698" s="18"/>
      <c r="Z698" s="19"/>
      <c r="AA698" s="18"/>
      <c r="AB698" s="20"/>
      <c r="AC698" s="29"/>
    </row>
    <row r="699" spans="13:29" x14ac:dyDescent="0.25">
      <c r="M699" s="9"/>
      <c r="N699" s="10"/>
      <c r="O699" s="11"/>
      <c r="P699" s="12"/>
      <c r="Q699" s="27"/>
      <c r="R699" s="14"/>
      <c r="S699" s="28"/>
      <c r="T699" s="15"/>
      <c r="U699" s="16"/>
      <c r="V699" s="17"/>
      <c r="W699" s="17"/>
      <c r="X699" s="11"/>
      <c r="Y699" s="18"/>
      <c r="Z699" s="19"/>
      <c r="AA699" s="18"/>
      <c r="AB699" s="20"/>
      <c r="AC699" s="29"/>
    </row>
    <row r="700" spans="13:29" x14ac:dyDescent="0.25">
      <c r="M700" s="9"/>
      <c r="N700" s="10"/>
      <c r="O700" s="11"/>
      <c r="P700" s="12"/>
      <c r="Q700" s="27"/>
      <c r="R700" s="14"/>
      <c r="S700" s="28"/>
      <c r="T700" s="15"/>
      <c r="U700" s="16"/>
      <c r="V700" s="17"/>
      <c r="W700" s="17"/>
      <c r="X700" s="11"/>
      <c r="Y700" s="18"/>
      <c r="Z700" s="19"/>
      <c r="AA700" s="18"/>
      <c r="AB700" s="20"/>
      <c r="AC700" s="29"/>
    </row>
    <row r="701" spans="13:29" x14ac:dyDescent="0.25">
      <c r="M701" s="9"/>
      <c r="N701" s="10"/>
      <c r="O701" s="11"/>
      <c r="P701" s="12"/>
      <c r="Q701" s="27"/>
      <c r="R701" s="14"/>
      <c r="S701" s="28"/>
      <c r="T701" s="15"/>
      <c r="U701" s="16"/>
      <c r="V701" s="17"/>
      <c r="W701" s="17"/>
      <c r="X701" s="11"/>
      <c r="Y701" s="18"/>
      <c r="Z701" s="19"/>
      <c r="AA701" s="18"/>
      <c r="AB701" s="20"/>
      <c r="AC701" s="29"/>
    </row>
    <row r="702" spans="13:29" x14ac:dyDescent="0.25">
      <c r="M702" s="9"/>
      <c r="N702" s="10"/>
      <c r="O702" s="11"/>
      <c r="P702" s="12"/>
      <c r="Q702" s="27"/>
      <c r="R702" s="14"/>
      <c r="S702" s="28"/>
      <c r="T702" s="15"/>
      <c r="U702" s="16"/>
      <c r="V702" s="17"/>
      <c r="W702" s="17"/>
      <c r="X702" s="11"/>
      <c r="Y702" s="18"/>
      <c r="Z702" s="19"/>
      <c r="AA702" s="18"/>
      <c r="AB702" s="20"/>
      <c r="AC702" s="29"/>
    </row>
    <row r="703" spans="13:29" x14ac:dyDescent="0.25">
      <c r="M703" s="9"/>
      <c r="N703" s="10"/>
      <c r="O703" s="11"/>
      <c r="P703" s="12"/>
      <c r="Q703" s="27"/>
      <c r="R703" s="14"/>
      <c r="S703" s="28"/>
      <c r="T703" s="15"/>
      <c r="U703" s="16"/>
      <c r="V703" s="17"/>
      <c r="W703" s="17"/>
      <c r="X703" s="11"/>
      <c r="Y703" s="18"/>
      <c r="Z703" s="19"/>
      <c r="AA703" s="18"/>
      <c r="AB703" s="20"/>
      <c r="AC703" s="29"/>
    </row>
    <row r="704" spans="13:29" x14ac:dyDescent="0.25">
      <c r="M704" s="9"/>
      <c r="N704" s="10"/>
      <c r="O704" s="11"/>
      <c r="P704" s="12"/>
      <c r="Q704" s="27"/>
      <c r="R704" s="14"/>
      <c r="S704" s="28"/>
      <c r="T704" s="15"/>
      <c r="U704" s="16"/>
      <c r="V704" s="17"/>
      <c r="W704" s="17"/>
      <c r="X704" s="11"/>
      <c r="Y704" s="18"/>
      <c r="Z704" s="19"/>
      <c r="AA704" s="18"/>
      <c r="AB704" s="20"/>
      <c r="AC704" s="29"/>
    </row>
    <row r="705" spans="13:29" x14ac:dyDescent="0.25">
      <c r="M705" s="9"/>
      <c r="N705" s="10"/>
      <c r="O705" s="11"/>
      <c r="P705" s="12"/>
      <c r="Q705" s="27"/>
      <c r="R705" s="14"/>
      <c r="S705" s="28"/>
      <c r="T705" s="15"/>
      <c r="U705" s="16"/>
      <c r="V705" s="17"/>
      <c r="W705" s="17"/>
      <c r="X705" s="11"/>
      <c r="Y705" s="18"/>
      <c r="Z705" s="19"/>
      <c r="AA705" s="18"/>
      <c r="AB705" s="20"/>
      <c r="AC705" s="29"/>
    </row>
    <row r="706" spans="13:29" x14ac:dyDescent="0.25">
      <c r="M706" s="9"/>
      <c r="N706" s="10"/>
      <c r="O706" s="11"/>
      <c r="P706" s="12"/>
      <c r="Q706" s="27"/>
      <c r="R706" s="14"/>
      <c r="S706" s="28"/>
      <c r="T706" s="15"/>
      <c r="U706" s="16"/>
      <c r="V706" s="17"/>
      <c r="W706" s="17"/>
      <c r="X706" s="11"/>
      <c r="Y706" s="18"/>
      <c r="Z706" s="19"/>
      <c r="AA706" s="18"/>
      <c r="AB706" s="20"/>
      <c r="AC706" s="29"/>
    </row>
    <row r="707" spans="13:29" x14ac:dyDescent="0.25">
      <c r="M707" s="9"/>
      <c r="N707" s="10"/>
      <c r="O707" s="11"/>
      <c r="P707" s="12"/>
      <c r="Q707" s="27"/>
      <c r="R707" s="14"/>
      <c r="S707" s="28"/>
      <c r="T707" s="15"/>
      <c r="U707" s="16"/>
      <c r="V707" s="17"/>
      <c r="W707" s="17"/>
      <c r="X707" s="11"/>
      <c r="Y707" s="18"/>
      <c r="Z707" s="19"/>
      <c r="AA707" s="18"/>
      <c r="AB707" s="20"/>
      <c r="AC707" s="29"/>
    </row>
    <row r="708" spans="13:29" x14ac:dyDescent="0.25">
      <c r="M708" s="9"/>
      <c r="N708" s="10"/>
      <c r="O708" s="11"/>
      <c r="P708" s="12"/>
      <c r="Q708" s="27"/>
      <c r="R708" s="14"/>
      <c r="S708" s="28"/>
      <c r="T708" s="15"/>
      <c r="U708" s="16"/>
      <c r="V708" s="17"/>
      <c r="W708" s="17"/>
      <c r="X708" s="11"/>
      <c r="Y708" s="18"/>
      <c r="Z708" s="19"/>
      <c r="AA708" s="18"/>
      <c r="AB708" s="20"/>
      <c r="AC708" s="29"/>
    </row>
    <row r="709" spans="13:29" x14ac:dyDescent="0.25">
      <c r="M709" s="9"/>
      <c r="N709" s="10"/>
      <c r="O709" s="11"/>
      <c r="P709" s="12"/>
      <c r="Q709" s="27"/>
      <c r="R709" s="14"/>
      <c r="S709" s="28"/>
      <c r="T709" s="15"/>
      <c r="U709" s="16"/>
      <c r="V709" s="17"/>
      <c r="W709" s="17"/>
      <c r="X709" s="11"/>
      <c r="Y709" s="18"/>
      <c r="Z709" s="19"/>
      <c r="AA709" s="18"/>
      <c r="AB709" s="20"/>
      <c r="AC709" s="29"/>
    </row>
    <row r="710" spans="13:29" x14ac:dyDescent="0.25">
      <c r="M710" s="9"/>
      <c r="N710" s="10"/>
      <c r="O710" s="11"/>
      <c r="P710" s="12"/>
      <c r="Q710" s="27"/>
      <c r="R710" s="14"/>
      <c r="S710" s="28"/>
      <c r="T710" s="15"/>
      <c r="U710" s="16"/>
      <c r="V710" s="17"/>
      <c r="W710" s="17"/>
      <c r="X710" s="11"/>
      <c r="Y710" s="18"/>
      <c r="Z710" s="19"/>
      <c r="AA710" s="18"/>
      <c r="AB710" s="20"/>
      <c r="AC710" s="29"/>
    </row>
    <row r="711" spans="13:29" x14ac:dyDescent="0.25">
      <c r="M711" s="9"/>
      <c r="N711" s="10"/>
      <c r="O711" s="11"/>
      <c r="P711" s="12"/>
      <c r="Q711" s="27"/>
      <c r="R711" s="14"/>
      <c r="S711" s="28"/>
      <c r="T711" s="15"/>
      <c r="U711" s="16"/>
      <c r="V711" s="17"/>
      <c r="W711" s="17"/>
      <c r="X711" s="11"/>
      <c r="Y711" s="18"/>
      <c r="Z711" s="19"/>
      <c r="AA711" s="18"/>
      <c r="AB711" s="20"/>
      <c r="AC711" s="29"/>
    </row>
    <row r="712" spans="13:29" x14ac:dyDescent="0.25">
      <c r="M712" s="9"/>
      <c r="N712" s="10"/>
      <c r="O712" s="11"/>
      <c r="P712" s="12"/>
      <c r="Q712" s="27"/>
      <c r="R712" s="14"/>
      <c r="S712" s="28"/>
      <c r="T712" s="15"/>
      <c r="U712" s="16"/>
      <c r="V712" s="17"/>
      <c r="W712" s="17"/>
      <c r="X712" s="11"/>
      <c r="Y712" s="18"/>
      <c r="Z712" s="19"/>
      <c r="AA712" s="18"/>
      <c r="AB712" s="20"/>
      <c r="AC712" s="29"/>
    </row>
    <row r="713" spans="13:29" x14ac:dyDescent="0.25">
      <c r="M713" s="9"/>
      <c r="N713" s="10"/>
      <c r="O713" s="11"/>
      <c r="P713" s="12"/>
      <c r="Q713" s="27"/>
      <c r="R713" s="14"/>
      <c r="S713" s="28"/>
      <c r="T713" s="15"/>
      <c r="U713" s="16"/>
      <c r="V713" s="17"/>
      <c r="W713" s="17"/>
      <c r="X713" s="11"/>
      <c r="Y713" s="18"/>
      <c r="Z713" s="19"/>
      <c r="AA713" s="18"/>
      <c r="AB713" s="20"/>
      <c r="AC713" s="29"/>
    </row>
    <row r="714" spans="13:29" x14ac:dyDescent="0.25">
      <c r="M714" s="9"/>
      <c r="N714" s="10"/>
      <c r="O714" s="11"/>
      <c r="P714" s="12"/>
      <c r="Q714" s="27"/>
      <c r="R714" s="14"/>
      <c r="S714" s="28"/>
      <c r="T714" s="15"/>
      <c r="U714" s="16"/>
      <c r="V714" s="17"/>
      <c r="W714" s="17"/>
      <c r="X714" s="11"/>
      <c r="Y714" s="18"/>
      <c r="Z714" s="19"/>
      <c r="AA714" s="18"/>
      <c r="AB714" s="20"/>
      <c r="AC714" s="29"/>
    </row>
    <row r="715" spans="13:29" x14ac:dyDescent="0.25">
      <c r="M715" s="9"/>
      <c r="N715" s="10"/>
      <c r="O715" s="11"/>
      <c r="P715" s="12"/>
      <c r="Q715" s="27"/>
      <c r="R715" s="14"/>
      <c r="S715" s="28"/>
      <c r="T715" s="15"/>
      <c r="U715" s="16"/>
      <c r="V715" s="17"/>
      <c r="W715" s="17"/>
      <c r="X715" s="11"/>
      <c r="Y715" s="18"/>
      <c r="Z715" s="19"/>
      <c r="AA715" s="18"/>
      <c r="AB715" s="20"/>
      <c r="AC715" s="29"/>
    </row>
    <row r="716" spans="13:29" x14ac:dyDescent="0.25">
      <c r="M716" s="9"/>
      <c r="N716" s="10"/>
      <c r="O716" s="11"/>
      <c r="P716" s="12"/>
      <c r="Q716" s="27"/>
      <c r="R716" s="14"/>
      <c r="S716" s="28"/>
      <c r="T716" s="15"/>
      <c r="U716" s="16"/>
      <c r="V716" s="17"/>
      <c r="W716" s="17"/>
      <c r="X716" s="11"/>
      <c r="Y716" s="18"/>
      <c r="Z716" s="19"/>
      <c r="AA716" s="18"/>
      <c r="AB716" s="20"/>
      <c r="AC716" s="29"/>
    </row>
    <row r="717" spans="13:29" x14ac:dyDescent="0.25">
      <c r="M717" s="9"/>
      <c r="N717" s="10"/>
      <c r="O717" s="11"/>
      <c r="P717" s="12"/>
      <c r="Q717" s="27"/>
      <c r="R717" s="14"/>
      <c r="S717" s="28"/>
      <c r="T717" s="15"/>
      <c r="U717" s="16"/>
      <c r="V717" s="17"/>
      <c r="W717" s="17"/>
      <c r="X717" s="11"/>
      <c r="Y717" s="18"/>
      <c r="Z717" s="19"/>
      <c r="AA717" s="18"/>
      <c r="AB717" s="20"/>
      <c r="AC717" s="29"/>
    </row>
    <row r="718" spans="13:29" x14ac:dyDescent="0.25">
      <c r="M718" s="9"/>
      <c r="N718" s="10"/>
      <c r="O718" s="11"/>
      <c r="P718" s="12"/>
      <c r="Q718" s="27"/>
      <c r="R718" s="14"/>
      <c r="S718" s="28"/>
      <c r="T718" s="15"/>
      <c r="U718" s="16"/>
      <c r="V718" s="17"/>
      <c r="W718" s="17"/>
      <c r="X718" s="11"/>
      <c r="Y718" s="18"/>
      <c r="Z718" s="19"/>
      <c r="AA718" s="18"/>
      <c r="AB718" s="20"/>
      <c r="AC718" s="29"/>
    </row>
    <row r="719" spans="13:29" x14ac:dyDescent="0.25">
      <c r="M719" s="9"/>
      <c r="N719" s="10"/>
      <c r="O719" s="11"/>
      <c r="P719" s="12"/>
      <c r="Q719" s="27"/>
      <c r="R719" s="14"/>
      <c r="S719" s="28"/>
      <c r="T719" s="15"/>
      <c r="U719" s="16"/>
      <c r="V719" s="17"/>
      <c r="W719" s="17"/>
      <c r="X719" s="11"/>
      <c r="Y719" s="18"/>
      <c r="Z719" s="19"/>
      <c r="AA719" s="18"/>
      <c r="AB719" s="20"/>
      <c r="AC719" s="29"/>
    </row>
    <row r="720" spans="13:29" x14ac:dyDescent="0.25">
      <c r="M720" s="9"/>
      <c r="N720" s="10"/>
      <c r="O720" s="11"/>
      <c r="P720" s="12"/>
      <c r="Q720" s="27"/>
      <c r="R720" s="14"/>
      <c r="S720" s="28"/>
      <c r="T720" s="15"/>
      <c r="U720" s="16"/>
      <c r="V720" s="17"/>
      <c r="W720" s="17"/>
      <c r="X720" s="11"/>
      <c r="Y720" s="18"/>
      <c r="Z720" s="19"/>
      <c r="AA720" s="18"/>
      <c r="AB720" s="20"/>
      <c r="AC720" s="29"/>
    </row>
    <row r="721" spans="13:29" x14ac:dyDescent="0.25">
      <c r="M721" s="9"/>
      <c r="N721" s="10"/>
      <c r="O721" s="11"/>
      <c r="P721" s="12"/>
      <c r="Q721" s="27"/>
      <c r="R721" s="14"/>
      <c r="S721" s="28"/>
      <c r="T721" s="15"/>
      <c r="U721" s="16"/>
      <c r="V721" s="17"/>
      <c r="W721" s="17"/>
      <c r="X721" s="11"/>
      <c r="Y721" s="18"/>
      <c r="Z721" s="19"/>
      <c r="AA721" s="18"/>
      <c r="AB721" s="20"/>
      <c r="AC721" s="29"/>
    </row>
    <row r="722" spans="13:29" x14ac:dyDescent="0.25">
      <c r="M722" s="9"/>
      <c r="N722" s="10"/>
      <c r="O722" s="11"/>
      <c r="P722" s="12"/>
      <c r="Q722" s="27"/>
      <c r="R722" s="14"/>
      <c r="S722" s="28"/>
      <c r="T722" s="15"/>
      <c r="U722" s="16"/>
      <c r="V722" s="17"/>
      <c r="W722" s="17"/>
      <c r="X722" s="11"/>
      <c r="Y722" s="18"/>
      <c r="Z722" s="19"/>
      <c r="AA722" s="18"/>
      <c r="AB722" s="20"/>
      <c r="AC722" s="29"/>
    </row>
    <row r="723" spans="13:29" x14ac:dyDescent="0.25">
      <c r="M723" s="9"/>
      <c r="N723" s="10"/>
      <c r="O723" s="11"/>
      <c r="P723" s="12"/>
      <c r="Q723" s="27"/>
      <c r="R723" s="14"/>
      <c r="S723" s="28"/>
      <c r="T723" s="15"/>
      <c r="U723" s="16"/>
      <c r="V723" s="17"/>
      <c r="W723" s="17"/>
      <c r="X723" s="11"/>
      <c r="Y723" s="18"/>
      <c r="Z723" s="19"/>
      <c r="AA723" s="18"/>
      <c r="AB723" s="20"/>
      <c r="AC723" s="29"/>
    </row>
    <row r="724" spans="13:29" x14ac:dyDescent="0.25">
      <c r="M724" s="9"/>
      <c r="N724" s="10"/>
      <c r="O724" s="11"/>
      <c r="P724" s="12"/>
      <c r="Q724" s="27"/>
      <c r="R724" s="14"/>
      <c r="S724" s="28"/>
      <c r="T724" s="15"/>
      <c r="U724" s="16"/>
      <c r="V724" s="17"/>
      <c r="W724" s="17"/>
      <c r="X724" s="11"/>
      <c r="Y724" s="18"/>
      <c r="Z724" s="19"/>
      <c r="AA724" s="18"/>
      <c r="AB724" s="20"/>
      <c r="AC724" s="29"/>
    </row>
    <row r="725" spans="13:29" x14ac:dyDescent="0.25">
      <c r="M725" s="9"/>
      <c r="N725" s="10"/>
      <c r="O725" s="11"/>
      <c r="P725" s="12"/>
      <c r="Q725" s="27"/>
      <c r="R725" s="14"/>
      <c r="S725" s="28"/>
      <c r="T725" s="15"/>
      <c r="U725" s="16"/>
      <c r="V725" s="17"/>
      <c r="W725" s="17"/>
      <c r="X725" s="11"/>
      <c r="Y725" s="18"/>
      <c r="Z725" s="19"/>
      <c r="AA725" s="18"/>
      <c r="AB725" s="20"/>
      <c r="AC725" s="29"/>
    </row>
    <row r="726" spans="13:29" x14ac:dyDescent="0.25">
      <c r="M726" s="9"/>
      <c r="N726" s="10"/>
      <c r="O726" s="11"/>
      <c r="P726" s="12"/>
      <c r="Q726" s="27"/>
      <c r="R726" s="14"/>
      <c r="S726" s="28"/>
      <c r="T726" s="15"/>
      <c r="U726" s="16"/>
      <c r="V726" s="17"/>
      <c r="W726" s="17"/>
      <c r="X726" s="11"/>
      <c r="Y726" s="18"/>
      <c r="Z726" s="19"/>
      <c r="AA726" s="18"/>
      <c r="AB726" s="20"/>
      <c r="AC726" s="29"/>
    </row>
    <row r="727" spans="13:29" x14ac:dyDescent="0.25">
      <c r="M727" s="9"/>
      <c r="N727" s="10"/>
      <c r="O727" s="11"/>
      <c r="P727" s="12"/>
      <c r="Q727" s="27"/>
      <c r="R727" s="14"/>
      <c r="S727" s="28"/>
      <c r="T727" s="15"/>
      <c r="U727" s="16"/>
      <c r="V727" s="17"/>
      <c r="W727" s="17"/>
      <c r="X727" s="11"/>
      <c r="Y727" s="18"/>
      <c r="Z727" s="19"/>
      <c r="AA727" s="18"/>
      <c r="AB727" s="20"/>
      <c r="AC727" s="29"/>
    </row>
    <row r="728" spans="13:29" x14ac:dyDescent="0.25">
      <c r="M728" s="9"/>
      <c r="N728" s="10"/>
      <c r="O728" s="11"/>
      <c r="P728" s="12"/>
      <c r="Q728" s="27"/>
      <c r="R728" s="14"/>
      <c r="S728" s="28"/>
      <c r="T728" s="15"/>
      <c r="U728" s="16"/>
      <c r="V728" s="17"/>
      <c r="W728" s="17"/>
      <c r="X728" s="11"/>
      <c r="Y728" s="18"/>
      <c r="Z728" s="19"/>
      <c r="AA728" s="18"/>
      <c r="AB728" s="20"/>
      <c r="AC728" s="29"/>
    </row>
    <row r="729" spans="13:29" x14ac:dyDescent="0.25">
      <c r="M729" s="9"/>
      <c r="N729" s="10"/>
      <c r="O729" s="11"/>
      <c r="P729" s="12"/>
      <c r="Q729" s="27"/>
      <c r="R729" s="14"/>
      <c r="S729" s="28"/>
      <c r="T729" s="15"/>
      <c r="U729" s="16"/>
      <c r="V729" s="17"/>
      <c r="W729" s="17"/>
      <c r="X729" s="11"/>
      <c r="Y729" s="18"/>
      <c r="Z729" s="19"/>
      <c r="AA729" s="18"/>
      <c r="AB729" s="20"/>
      <c r="AC729" s="29"/>
    </row>
    <row r="730" spans="13:29" x14ac:dyDescent="0.25">
      <c r="M730" s="9"/>
      <c r="N730" s="10"/>
      <c r="O730" s="11"/>
      <c r="P730" s="12"/>
      <c r="Q730" s="27"/>
      <c r="R730" s="14"/>
      <c r="S730" s="28"/>
      <c r="T730" s="15"/>
      <c r="U730" s="16"/>
      <c r="V730" s="17"/>
      <c r="W730" s="17"/>
      <c r="X730" s="11"/>
      <c r="Y730" s="18"/>
      <c r="Z730" s="19"/>
      <c r="AA730" s="18"/>
      <c r="AB730" s="20"/>
      <c r="AC730" s="29"/>
    </row>
    <row r="731" spans="13:29" x14ac:dyDescent="0.25">
      <c r="M731" s="9"/>
      <c r="N731" s="10"/>
      <c r="O731" s="11"/>
      <c r="P731" s="12"/>
      <c r="Q731" s="27"/>
      <c r="R731" s="14"/>
      <c r="S731" s="28"/>
      <c r="T731" s="15"/>
      <c r="U731" s="16"/>
      <c r="V731" s="17"/>
      <c r="W731" s="17"/>
      <c r="X731" s="11"/>
      <c r="Y731" s="18"/>
      <c r="Z731" s="19"/>
      <c r="AA731" s="18"/>
      <c r="AB731" s="20"/>
      <c r="AC731" s="29"/>
    </row>
    <row r="732" spans="13:29" x14ac:dyDescent="0.25">
      <c r="M732" s="9"/>
      <c r="N732" s="10"/>
      <c r="O732" s="11"/>
      <c r="P732" s="12"/>
      <c r="Q732" s="27"/>
      <c r="R732" s="14"/>
      <c r="S732" s="28"/>
      <c r="T732" s="15"/>
      <c r="U732" s="16"/>
      <c r="V732" s="17"/>
      <c r="W732" s="17"/>
      <c r="X732" s="11"/>
      <c r="Y732" s="18"/>
      <c r="Z732" s="19"/>
      <c r="AA732" s="18"/>
      <c r="AB732" s="20"/>
      <c r="AC732" s="29"/>
    </row>
    <row r="733" spans="13:29" x14ac:dyDescent="0.25">
      <c r="M733" s="9"/>
      <c r="N733" s="10"/>
      <c r="O733" s="11"/>
      <c r="P733" s="12"/>
      <c r="Q733" s="27"/>
      <c r="R733" s="14"/>
      <c r="S733" s="28"/>
      <c r="T733" s="15"/>
      <c r="U733" s="16"/>
      <c r="V733" s="17"/>
      <c r="W733" s="17"/>
      <c r="X733" s="11"/>
      <c r="Y733" s="18"/>
      <c r="Z733" s="19"/>
      <c r="AA733" s="18"/>
      <c r="AB733" s="20"/>
      <c r="AC733" s="29"/>
    </row>
    <row r="734" spans="13:29" x14ac:dyDescent="0.25">
      <c r="M734" s="9"/>
      <c r="N734" s="10"/>
      <c r="O734" s="11"/>
      <c r="P734" s="12"/>
      <c r="Q734" s="27"/>
      <c r="R734" s="14"/>
      <c r="S734" s="28"/>
      <c r="T734" s="15"/>
      <c r="U734" s="16"/>
      <c r="V734" s="17"/>
      <c r="W734" s="17"/>
      <c r="X734" s="11"/>
      <c r="Y734" s="18"/>
      <c r="Z734" s="19"/>
      <c r="AA734" s="18"/>
      <c r="AB734" s="20"/>
      <c r="AC734" s="29"/>
    </row>
    <row r="735" spans="13:29" x14ac:dyDescent="0.25">
      <c r="M735" s="9"/>
      <c r="N735" s="10"/>
      <c r="O735" s="11"/>
      <c r="P735" s="12"/>
      <c r="Q735" s="27"/>
      <c r="R735" s="14"/>
      <c r="S735" s="28"/>
      <c r="T735" s="15"/>
      <c r="U735" s="16"/>
      <c r="V735" s="17"/>
      <c r="W735" s="17"/>
      <c r="X735" s="11"/>
      <c r="Y735" s="18"/>
      <c r="Z735" s="19"/>
      <c r="AA735" s="18"/>
      <c r="AB735" s="20"/>
      <c r="AC735" s="29"/>
    </row>
    <row r="736" spans="13:29" x14ac:dyDescent="0.25">
      <c r="M736" s="9"/>
      <c r="N736" s="10"/>
      <c r="O736" s="11"/>
      <c r="P736" s="12"/>
      <c r="Q736" s="27"/>
      <c r="R736" s="14"/>
      <c r="S736" s="28"/>
      <c r="T736" s="15"/>
      <c r="U736" s="16"/>
      <c r="V736" s="17"/>
      <c r="W736" s="17"/>
      <c r="X736" s="11"/>
      <c r="Y736" s="18"/>
      <c r="Z736" s="19"/>
      <c r="AA736" s="18"/>
      <c r="AB736" s="20"/>
      <c r="AC736" s="29"/>
    </row>
    <row r="737" spans="13:29" x14ac:dyDescent="0.25">
      <c r="M737" s="9"/>
      <c r="N737" s="10"/>
      <c r="O737" s="11"/>
      <c r="P737" s="12"/>
      <c r="Q737" s="27"/>
      <c r="R737" s="14"/>
      <c r="S737" s="28"/>
      <c r="T737" s="15"/>
      <c r="U737" s="16"/>
      <c r="V737" s="17"/>
      <c r="W737" s="17"/>
      <c r="X737" s="11"/>
      <c r="Y737" s="18"/>
      <c r="Z737" s="19"/>
      <c r="AA737" s="18"/>
      <c r="AB737" s="20"/>
      <c r="AC737" s="29"/>
    </row>
    <row r="738" spans="13:29" x14ac:dyDescent="0.25">
      <c r="M738" s="9"/>
      <c r="N738" s="10"/>
      <c r="O738" s="11"/>
      <c r="P738" s="12"/>
      <c r="Q738" s="27"/>
      <c r="R738" s="14"/>
      <c r="S738" s="28"/>
      <c r="T738" s="15"/>
      <c r="U738" s="16"/>
      <c r="V738" s="17"/>
      <c r="W738" s="17"/>
      <c r="X738" s="11"/>
      <c r="Y738" s="18"/>
      <c r="Z738" s="19"/>
      <c r="AA738" s="18"/>
      <c r="AB738" s="20"/>
      <c r="AC738" s="29"/>
    </row>
    <row r="739" spans="13:29" x14ac:dyDescent="0.25">
      <c r="M739" s="9"/>
      <c r="N739" s="10"/>
      <c r="O739" s="11"/>
      <c r="P739" s="12"/>
      <c r="Q739" s="27"/>
      <c r="R739" s="14"/>
      <c r="S739" s="28"/>
      <c r="T739" s="15"/>
      <c r="U739" s="16"/>
      <c r="V739" s="17"/>
      <c r="W739" s="17"/>
      <c r="X739" s="11"/>
      <c r="Y739" s="18"/>
      <c r="Z739" s="19"/>
      <c r="AA739" s="18"/>
      <c r="AB739" s="20"/>
      <c r="AC739" s="29"/>
    </row>
    <row r="740" spans="13:29" x14ac:dyDescent="0.25">
      <c r="M740" s="9"/>
      <c r="N740" s="10"/>
      <c r="O740" s="11"/>
      <c r="P740" s="12"/>
      <c r="Q740" s="27"/>
      <c r="R740" s="14"/>
      <c r="S740" s="28"/>
      <c r="T740" s="15"/>
      <c r="U740" s="16"/>
      <c r="V740" s="17"/>
      <c r="W740" s="17"/>
      <c r="X740" s="11"/>
      <c r="Y740" s="18"/>
      <c r="Z740" s="19"/>
      <c r="AA740" s="18"/>
      <c r="AB740" s="20"/>
      <c r="AC740" s="29"/>
    </row>
    <row r="741" spans="13:29" x14ac:dyDescent="0.25">
      <c r="M741" s="9"/>
      <c r="N741" s="10"/>
      <c r="O741" s="11"/>
      <c r="P741" s="12"/>
      <c r="Q741" s="27"/>
      <c r="R741" s="14"/>
      <c r="S741" s="28"/>
      <c r="T741" s="15"/>
      <c r="U741" s="16"/>
      <c r="V741" s="17"/>
      <c r="W741" s="17"/>
      <c r="X741" s="11"/>
      <c r="Y741" s="18"/>
      <c r="Z741" s="19"/>
      <c r="AA741" s="18"/>
      <c r="AB741" s="20"/>
      <c r="AC741" s="29"/>
    </row>
    <row r="742" spans="13:29" x14ac:dyDescent="0.25">
      <c r="M742" s="9"/>
      <c r="N742" s="10"/>
      <c r="O742" s="11"/>
      <c r="P742" s="12"/>
      <c r="Q742" s="27"/>
      <c r="R742" s="14"/>
      <c r="S742" s="28"/>
      <c r="T742" s="15"/>
      <c r="U742" s="16"/>
      <c r="V742" s="17"/>
      <c r="W742" s="17"/>
      <c r="X742" s="11"/>
      <c r="Y742" s="18"/>
      <c r="Z742" s="19"/>
      <c r="AA742" s="18"/>
      <c r="AB742" s="20"/>
      <c r="AC742" s="29"/>
    </row>
    <row r="743" spans="13:29" x14ac:dyDescent="0.25">
      <c r="M743" s="9"/>
      <c r="N743" s="10"/>
      <c r="O743" s="11"/>
      <c r="P743" s="12"/>
      <c r="Q743" s="27"/>
      <c r="R743" s="14"/>
      <c r="S743" s="28"/>
      <c r="T743" s="15"/>
      <c r="U743" s="16"/>
      <c r="V743" s="17"/>
      <c r="W743" s="17"/>
      <c r="X743" s="11"/>
      <c r="Y743" s="18"/>
      <c r="Z743" s="19"/>
      <c r="AA743" s="18"/>
      <c r="AB743" s="20"/>
      <c r="AC743" s="29"/>
    </row>
    <row r="744" spans="13:29" x14ac:dyDescent="0.25">
      <c r="M744" s="9"/>
      <c r="N744" s="10"/>
      <c r="O744" s="11"/>
      <c r="P744" s="12"/>
      <c r="Q744" s="27"/>
      <c r="R744" s="14"/>
      <c r="S744" s="28"/>
      <c r="T744" s="15"/>
      <c r="U744" s="16"/>
      <c r="V744" s="17"/>
      <c r="W744" s="17"/>
      <c r="X744" s="11"/>
      <c r="Y744" s="18"/>
      <c r="Z744" s="19"/>
      <c r="AA744" s="18"/>
      <c r="AB744" s="20"/>
      <c r="AC744" s="29"/>
    </row>
    <row r="745" spans="13:29" x14ac:dyDescent="0.25">
      <c r="M745" s="9"/>
      <c r="N745" s="10"/>
      <c r="O745" s="11"/>
      <c r="P745" s="12"/>
      <c r="Q745" s="27"/>
      <c r="R745" s="14"/>
      <c r="S745" s="28"/>
      <c r="T745" s="15"/>
      <c r="U745" s="16"/>
      <c r="V745" s="17"/>
      <c r="W745" s="17"/>
      <c r="X745" s="11"/>
      <c r="Y745" s="18"/>
      <c r="Z745" s="19"/>
      <c r="AA745" s="18"/>
      <c r="AB745" s="20"/>
      <c r="AC745" s="29"/>
    </row>
    <row r="746" spans="13:29" x14ac:dyDescent="0.25">
      <c r="M746" s="9"/>
      <c r="N746" s="10"/>
      <c r="O746" s="11"/>
      <c r="P746" s="12"/>
      <c r="Q746" s="27"/>
      <c r="R746" s="14"/>
      <c r="S746" s="28"/>
      <c r="T746" s="15"/>
      <c r="U746" s="16"/>
      <c r="V746" s="17"/>
      <c r="W746" s="17"/>
      <c r="X746" s="11"/>
      <c r="Y746" s="18"/>
      <c r="Z746" s="19"/>
      <c r="AA746" s="18"/>
      <c r="AB746" s="20"/>
      <c r="AC746" s="29"/>
    </row>
    <row r="747" spans="13:29" x14ac:dyDescent="0.25">
      <c r="M747" s="9"/>
      <c r="N747" s="10"/>
      <c r="O747" s="11"/>
      <c r="P747" s="12"/>
      <c r="Q747" s="27"/>
      <c r="R747" s="14"/>
      <c r="S747" s="28"/>
      <c r="T747" s="15"/>
      <c r="U747" s="16"/>
      <c r="V747" s="17"/>
      <c r="W747" s="17"/>
      <c r="X747" s="11"/>
      <c r="Y747" s="18"/>
      <c r="Z747" s="19"/>
      <c r="AA747" s="18"/>
      <c r="AB747" s="20"/>
      <c r="AC747" s="29"/>
    </row>
    <row r="748" spans="13:29" x14ac:dyDescent="0.25">
      <c r="M748" s="9"/>
      <c r="N748" s="10"/>
      <c r="O748" s="11"/>
      <c r="P748" s="12"/>
      <c r="Q748" s="27"/>
      <c r="R748" s="14"/>
      <c r="S748" s="28"/>
      <c r="T748" s="15"/>
      <c r="U748" s="16"/>
      <c r="V748" s="17"/>
      <c r="W748" s="17"/>
      <c r="X748" s="11"/>
      <c r="Y748" s="18"/>
      <c r="Z748" s="19"/>
      <c r="AA748" s="18"/>
      <c r="AB748" s="20"/>
      <c r="AC748" s="29"/>
    </row>
    <row r="749" spans="13:29" x14ac:dyDescent="0.25">
      <c r="M749" s="9"/>
      <c r="N749" s="10"/>
      <c r="O749" s="11"/>
      <c r="P749" s="12"/>
      <c r="Q749" s="27"/>
      <c r="R749" s="14"/>
      <c r="S749" s="28"/>
      <c r="T749" s="15"/>
      <c r="U749" s="16"/>
      <c r="V749" s="17"/>
      <c r="W749" s="17"/>
      <c r="X749" s="11"/>
      <c r="Y749" s="18"/>
      <c r="Z749" s="19"/>
      <c r="AA749" s="18"/>
      <c r="AB749" s="20"/>
      <c r="AC749" s="29"/>
    </row>
    <row r="750" spans="13:29" x14ac:dyDescent="0.25">
      <c r="M750" s="9"/>
      <c r="N750" s="10"/>
      <c r="O750" s="11"/>
      <c r="P750" s="12"/>
      <c r="Q750" s="27"/>
      <c r="R750" s="14"/>
      <c r="S750" s="28"/>
      <c r="T750" s="15"/>
      <c r="U750" s="16"/>
      <c r="V750" s="17"/>
      <c r="W750" s="17"/>
      <c r="X750" s="11"/>
      <c r="Y750" s="18"/>
      <c r="Z750" s="19"/>
      <c r="AA750" s="18"/>
      <c r="AB750" s="20"/>
      <c r="AC750" s="29"/>
    </row>
    <row r="751" spans="13:29" x14ac:dyDescent="0.25">
      <c r="M751" s="9"/>
      <c r="N751" s="10"/>
      <c r="O751" s="11"/>
      <c r="P751" s="12"/>
      <c r="Q751" s="27"/>
      <c r="R751" s="14"/>
      <c r="S751" s="28"/>
      <c r="T751" s="15"/>
      <c r="U751" s="16"/>
      <c r="V751" s="17"/>
      <c r="W751" s="17"/>
      <c r="X751" s="11"/>
      <c r="Y751" s="18"/>
      <c r="Z751" s="19"/>
      <c r="AA751" s="18"/>
      <c r="AB751" s="20"/>
      <c r="AC751" s="29"/>
    </row>
    <row r="752" spans="13:29" x14ac:dyDescent="0.25">
      <c r="M752" s="9"/>
      <c r="N752" s="10"/>
      <c r="O752" s="11"/>
      <c r="P752" s="12"/>
      <c r="Q752" s="27"/>
      <c r="R752" s="14"/>
      <c r="S752" s="28"/>
      <c r="T752" s="15"/>
      <c r="U752" s="16"/>
      <c r="V752" s="17"/>
      <c r="W752" s="17"/>
      <c r="X752" s="11"/>
      <c r="Y752" s="18"/>
      <c r="Z752" s="19"/>
      <c r="AA752" s="18"/>
      <c r="AB752" s="20"/>
      <c r="AC752" s="29"/>
    </row>
    <row r="753" spans="13:29" x14ac:dyDescent="0.25">
      <c r="M753" s="9"/>
      <c r="N753" s="10"/>
      <c r="O753" s="11"/>
      <c r="P753" s="12"/>
      <c r="Q753" s="27"/>
      <c r="R753" s="14"/>
      <c r="S753" s="28"/>
      <c r="T753" s="15"/>
      <c r="U753" s="16"/>
      <c r="V753" s="17"/>
      <c r="W753" s="17"/>
      <c r="X753" s="11"/>
      <c r="Y753" s="18"/>
      <c r="Z753" s="19"/>
      <c r="AA753" s="18"/>
      <c r="AB753" s="20"/>
      <c r="AC753" s="29"/>
    </row>
    <row r="754" spans="13:29" x14ac:dyDescent="0.25">
      <c r="M754" s="9"/>
      <c r="N754" s="10"/>
      <c r="O754" s="11"/>
      <c r="P754" s="12"/>
      <c r="Q754" s="27"/>
      <c r="R754" s="14"/>
      <c r="S754" s="28"/>
      <c r="T754" s="15"/>
      <c r="U754" s="16"/>
      <c r="V754" s="17"/>
      <c r="W754" s="17"/>
      <c r="X754" s="11"/>
      <c r="Y754" s="18"/>
      <c r="Z754" s="19"/>
      <c r="AA754" s="18"/>
      <c r="AB754" s="20"/>
      <c r="AC754" s="29"/>
    </row>
    <row r="755" spans="13:29" x14ac:dyDescent="0.25">
      <c r="M755" s="9"/>
      <c r="N755" s="10"/>
      <c r="O755" s="11"/>
      <c r="P755" s="12"/>
      <c r="Q755" s="27"/>
      <c r="R755" s="14"/>
      <c r="S755" s="28"/>
      <c r="T755" s="15"/>
      <c r="U755" s="16"/>
      <c r="V755" s="17"/>
      <c r="W755" s="17"/>
      <c r="X755" s="11"/>
      <c r="Y755" s="18"/>
      <c r="Z755" s="19"/>
      <c r="AA755" s="18"/>
      <c r="AB755" s="20"/>
      <c r="AC755" s="29"/>
    </row>
    <row r="756" spans="13:29" x14ac:dyDescent="0.25">
      <c r="M756" s="9"/>
      <c r="N756" s="10"/>
      <c r="O756" s="11"/>
      <c r="P756" s="12"/>
      <c r="Q756" s="27"/>
      <c r="R756" s="14"/>
      <c r="S756" s="28"/>
      <c r="T756" s="15"/>
      <c r="U756" s="16"/>
      <c r="V756" s="17"/>
      <c r="W756" s="17"/>
      <c r="X756" s="11"/>
      <c r="Y756" s="18"/>
      <c r="Z756" s="19"/>
      <c r="AA756" s="18"/>
      <c r="AB756" s="20"/>
      <c r="AC756" s="29"/>
    </row>
    <row r="757" spans="13:29" x14ac:dyDescent="0.25">
      <c r="M757" s="9"/>
      <c r="N757" s="10"/>
      <c r="O757" s="11"/>
      <c r="P757" s="12"/>
      <c r="Q757" s="27"/>
      <c r="R757" s="14"/>
      <c r="S757" s="28"/>
      <c r="T757" s="15"/>
      <c r="U757" s="16"/>
      <c r="V757" s="17"/>
      <c r="W757" s="17"/>
      <c r="X757" s="11"/>
      <c r="Y757" s="18"/>
      <c r="Z757" s="19"/>
      <c r="AA757" s="18"/>
      <c r="AB757" s="20"/>
      <c r="AC757" s="29"/>
    </row>
    <row r="758" spans="13:29" x14ac:dyDescent="0.25">
      <c r="M758" s="9"/>
      <c r="N758" s="10"/>
      <c r="O758" s="11"/>
      <c r="P758" s="12"/>
      <c r="Q758" s="27"/>
      <c r="R758" s="14"/>
      <c r="S758" s="28"/>
      <c r="T758" s="15"/>
      <c r="U758" s="16"/>
      <c r="V758" s="17"/>
      <c r="W758" s="17"/>
      <c r="X758" s="11"/>
      <c r="Y758" s="18"/>
      <c r="Z758" s="19"/>
      <c r="AA758" s="18"/>
      <c r="AB758" s="20"/>
      <c r="AC758" s="29"/>
    </row>
    <row r="759" spans="13:29" x14ac:dyDescent="0.25">
      <c r="M759" s="9"/>
      <c r="N759" s="10"/>
      <c r="O759" s="11"/>
      <c r="P759" s="12"/>
      <c r="Q759" s="27"/>
      <c r="R759" s="14"/>
      <c r="S759" s="28"/>
      <c r="T759" s="15"/>
      <c r="U759" s="16"/>
      <c r="V759" s="17"/>
      <c r="W759" s="17"/>
      <c r="X759" s="11"/>
      <c r="Y759" s="18"/>
      <c r="Z759" s="19"/>
      <c r="AA759" s="18"/>
      <c r="AB759" s="20"/>
      <c r="AC759" s="29"/>
    </row>
    <row r="760" spans="13:29" x14ac:dyDescent="0.25">
      <c r="M760" s="9"/>
      <c r="N760" s="10"/>
      <c r="O760" s="11"/>
      <c r="P760" s="12"/>
      <c r="Q760" s="27"/>
      <c r="R760" s="14"/>
      <c r="S760" s="28"/>
      <c r="T760" s="15"/>
      <c r="U760" s="16"/>
      <c r="V760" s="17"/>
      <c r="W760" s="17"/>
      <c r="X760" s="11"/>
      <c r="Y760" s="18"/>
      <c r="Z760" s="19"/>
      <c r="AA760" s="18"/>
      <c r="AB760" s="20"/>
      <c r="AC760" s="29"/>
    </row>
    <row r="761" spans="13:29" x14ac:dyDescent="0.25">
      <c r="M761" s="9"/>
      <c r="N761" s="10"/>
      <c r="O761" s="11"/>
      <c r="P761" s="12"/>
      <c r="Q761" s="27"/>
      <c r="R761" s="14"/>
      <c r="S761" s="28"/>
      <c r="T761" s="15"/>
      <c r="U761" s="16"/>
      <c r="V761" s="17"/>
      <c r="W761" s="17"/>
      <c r="X761" s="11"/>
      <c r="Y761" s="18"/>
      <c r="Z761" s="19"/>
      <c r="AA761" s="18"/>
      <c r="AB761" s="20"/>
      <c r="AC761" s="29"/>
    </row>
    <row r="762" spans="13:29" x14ac:dyDescent="0.25">
      <c r="M762" s="9"/>
      <c r="N762" s="10"/>
      <c r="O762" s="11"/>
      <c r="P762" s="12"/>
      <c r="Q762" s="27"/>
      <c r="R762" s="43"/>
      <c r="S762" s="28"/>
      <c r="T762" s="15"/>
      <c r="U762" s="16"/>
      <c r="V762" s="17"/>
      <c r="W762" s="17"/>
      <c r="X762" s="11"/>
      <c r="Y762" s="18"/>
      <c r="Z762" s="19"/>
      <c r="AA762" s="18"/>
      <c r="AB762" s="20"/>
      <c r="AC762" s="29"/>
    </row>
    <row r="763" spans="13:29" x14ac:dyDescent="0.25">
      <c r="M763" s="9"/>
      <c r="N763" s="10"/>
      <c r="O763" s="11"/>
      <c r="P763" s="12"/>
      <c r="Q763" s="27"/>
      <c r="R763" s="14"/>
      <c r="S763" s="28"/>
      <c r="T763" s="15"/>
      <c r="U763" s="16"/>
      <c r="V763" s="17"/>
      <c r="W763" s="17"/>
      <c r="X763" s="11"/>
      <c r="Y763" s="18"/>
      <c r="Z763" s="19"/>
      <c r="AA763" s="18"/>
      <c r="AB763" s="20"/>
      <c r="AC763" s="29"/>
    </row>
    <row r="764" spans="13:29" x14ac:dyDescent="0.25">
      <c r="M764" s="9"/>
      <c r="N764" s="10"/>
      <c r="O764" s="11"/>
      <c r="P764" s="12"/>
      <c r="Q764" s="27"/>
      <c r="R764" s="14"/>
      <c r="S764" s="28"/>
      <c r="T764" s="15"/>
      <c r="U764" s="16"/>
      <c r="V764" s="17"/>
      <c r="W764" s="17"/>
      <c r="X764" s="11"/>
      <c r="Y764" s="18"/>
      <c r="Z764" s="19"/>
      <c r="AA764" s="18"/>
      <c r="AB764" s="20"/>
      <c r="AC764" s="29"/>
    </row>
    <row r="765" spans="13:29" x14ac:dyDescent="0.25">
      <c r="M765" s="9"/>
      <c r="N765" s="10"/>
      <c r="O765" s="11"/>
      <c r="P765" s="12"/>
      <c r="Q765" s="40"/>
      <c r="R765" s="14"/>
      <c r="S765" s="28"/>
      <c r="T765" s="15"/>
      <c r="U765" s="16"/>
      <c r="V765" s="17"/>
      <c r="W765" s="17"/>
      <c r="X765" s="11"/>
      <c r="Y765" s="18"/>
      <c r="Z765" s="19"/>
      <c r="AA765" s="18"/>
      <c r="AB765" s="20"/>
      <c r="AC765" s="29"/>
    </row>
    <row r="766" spans="13:29" x14ac:dyDescent="0.25">
      <c r="M766" s="9"/>
      <c r="N766" s="10"/>
      <c r="O766" s="11"/>
      <c r="P766" s="12"/>
      <c r="Q766" s="27"/>
      <c r="R766" s="14"/>
      <c r="S766" s="28"/>
      <c r="T766" s="15"/>
      <c r="U766" s="16"/>
      <c r="V766" s="17"/>
      <c r="W766" s="17"/>
      <c r="X766" s="11"/>
      <c r="Y766" s="18"/>
      <c r="Z766" s="19"/>
      <c r="AA766" s="18"/>
      <c r="AB766" s="20"/>
      <c r="AC766" s="44"/>
    </row>
    <row r="767" spans="13:29" x14ac:dyDescent="0.25">
      <c r="M767" s="9"/>
      <c r="N767" s="10"/>
      <c r="O767" s="11"/>
      <c r="P767" s="12"/>
      <c r="Q767" s="27"/>
      <c r="R767" s="14"/>
      <c r="S767" s="28"/>
      <c r="T767" s="15"/>
      <c r="U767" s="16"/>
      <c r="V767" s="17"/>
      <c r="W767" s="17"/>
      <c r="X767" s="11"/>
      <c r="Y767" s="18"/>
      <c r="Z767" s="19"/>
      <c r="AA767" s="18"/>
      <c r="AB767" s="20"/>
      <c r="AC767" s="29"/>
    </row>
    <row r="768" spans="13:29" x14ac:dyDescent="0.25">
      <c r="M768" s="9"/>
      <c r="N768" s="10"/>
      <c r="O768" s="11"/>
      <c r="P768" s="12"/>
      <c r="Q768" s="27"/>
      <c r="R768" s="14"/>
      <c r="S768" s="28"/>
      <c r="T768" s="15"/>
      <c r="U768" s="16"/>
      <c r="V768" s="17"/>
      <c r="W768" s="17"/>
      <c r="X768" s="11"/>
      <c r="Y768" s="18"/>
      <c r="Z768" s="19"/>
      <c r="AA768" s="18"/>
      <c r="AB768" s="20"/>
      <c r="AC768" s="44"/>
    </row>
    <row r="769" spans="13:29" x14ac:dyDescent="0.25">
      <c r="M769" s="9"/>
      <c r="N769" s="10"/>
      <c r="O769" s="11"/>
      <c r="P769" s="12"/>
      <c r="Q769" s="27"/>
      <c r="R769" s="14"/>
      <c r="S769" s="28"/>
      <c r="T769" s="15"/>
      <c r="U769" s="16"/>
      <c r="V769" s="17"/>
      <c r="W769" s="17"/>
      <c r="X769" s="11"/>
      <c r="Y769" s="18"/>
      <c r="Z769" s="19"/>
      <c r="AA769" s="18"/>
      <c r="AB769" s="20"/>
      <c r="AC769" s="44"/>
    </row>
    <row r="770" spans="13:29" x14ac:dyDescent="0.25">
      <c r="M770" s="9"/>
      <c r="N770" s="10"/>
      <c r="O770" s="11"/>
      <c r="P770" s="12"/>
      <c r="Q770" s="27"/>
      <c r="R770" s="14"/>
      <c r="S770" s="28"/>
      <c r="T770" s="15"/>
      <c r="U770" s="16"/>
      <c r="V770" s="17"/>
      <c r="W770" s="17"/>
      <c r="X770" s="11"/>
      <c r="Y770" s="18"/>
      <c r="Z770" s="19"/>
      <c r="AA770" s="18"/>
      <c r="AB770" s="20"/>
      <c r="AC770" s="29"/>
    </row>
    <row r="771" spans="13:29" x14ac:dyDescent="0.25">
      <c r="M771" s="9"/>
      <c r="N771" s="10"/>
      <c r="O771" s="11"/>
      <c r="P771" s="12"/>
      <c r="Q771" s="27"/>
      <c r="R771" s="14"/>
      <c r="S771" s="28"/>
      <c r="T771" s="15"/>
      <c r="U771" s="16"/>
      <c r="V771" s="17"/>
      <c r="W771" s="17"/>
      <c r="X771" s="11"/>
      <c r="Y771" s="18"/>
      <c r="Z771" s="19"/>
      <c r="AA771" s="18"/>
      <c r="AB771" s="20"/>
      <c r="AC771" s="29"/>
    </row>
    <row r="772" spans="13:29" x14ac:dyDescent="0.25">
      <c r="M772" s="9"/>
      <c r="N772" s="10"/>
      <c r="O772" s="11"/>
      <c r="P772" s="12"/>
      <c r="Q772" s="13"/>
      <c r="R772" s="14"/>
      <c r="S772" s="28"/>
      <c r="T772" s="15"/>
      <c r="U772" s="16"/>
      <c r="V772" s="17"/>
      <c r="W772" s="17"/>
      <c r="X772" s="11"/>
      <c r="Y772" s="18"/>
      <c r="Z772" s="19"/>
      <c r="AA772" s="18"/>
      <c r="AB772" s="20"/>
      <c r="AC772" s="44"/>
    </row>
    <row r="773" spans="13:29" x14ac:dyDescent="0.25">
      <c r="M773" s="9"/>
      <c r="N773" s="10"/>
      <c r="O773" s="11"/>
      <c r="P773" s="12"/>
      <c r="Q773" s="27"/>
      <c r="R773" s="14"/>
      <c r="S773" s="28"/>
      <c r="T773" s="15"/>
      <c r="U773" s="16"/>
      <c r="V773" s="17"/>
      <c r="W773" s="17"/>
      <c r="X773" s="11"/>
      <c r="Y773" s="18"/>
      <c r="Z773" s="19"/>
      <c r="AA773" s="18"/>
      <c r="AB773" s="20"/>
      <c r="AC773" s="29"/>
    </row>
    <row r="774" spans="13:29" x14ac:dyDescent="0.25">
      <c r="M774" s="9"/>
      <c r="N774" s="10"/>
      <c r="O774" s="11"/>
      <c r="P774" s="12"/>
      <c r="Q774" s="27"/>
      <c r="R774" s="14"/>
      <c r="S774" s="28"/>
      <c r="T774" s="15"/>
      <c r="U774" s="16"/>
      <c r="V774" s="17"/>
      <c r="W774" s="17"/>
      <c r="X774" s="11"/>
      <c r="Y774" s="18"/>
      <c r="Z774" s="19"/>
      <c r="AA774" s="18"/>
      <c r="AB774" s="20"/>
      <c r="AC774" s="44"/>
    </row>
    <row r="775" spans="13:29" x14ac:dyDescent="0.25">
      <c r="M775" s="9"/>
      <c r="N775" s="10"/>
      <c r="O775" s="11"/>
      <c r="P775" s="12"/>
      <c r="Q775" s="27"/>
      <c r="R775" s="14"/>
      <c r="S775" s="28"/>
      <c r="T775" s="15"/>
      <c r="U775" s="16"/>
      <c r="V775" s="17"/>
      <c r="W775" s="17"/>
      <c r="X775" s="11"/>
      <c r="Y775" s="18"/>
      <c r="Z775" s="19"/>
      <c r="AA775" s="18"/>
      <c r="AB775" s="20"/>
      <c r="AC775" s="29"/>
    </row>
    <row r="776" spans="13:29" x14ac:dyDescent="0.25">
      <c r="M776" s="9"/>
      <c r="N776" s="10"/>
      <c r="O776" s="11"/>
      <c r="P776" s="12"/>
      <c r="Q776" s="27"/>
      <c r="R776" s="14"/>
      <c r="S776" s="28"/>
      <c r="T776" s="15"/>
      <c r="U776" s="16"/>
      <c r="V776" s="17"/>
      <c r="W776" s="17"/>
      <c r="X776" s="11"/>
      <c r="Y776" s="18"/>
      <c r="Z776" s="19"/>
      <c r="AA776" s="18"/>
      <c r="AB776" s="20"/>
      <c r="AC776" s="29"/>
    </row>
    <row r="777" spans="13:29" x14ac:dyDescent="0.25">
      <c r="M777" s="9"/>
      <c r="N777" s="10"/>
      <c r="O777" s="11"/>
      <c r="P777" s="12"/>
      <c r="Q777" s="13"/>
      <c r="R777" s="14"/>
      <c r="S777" s="28"/>
      <c r="T777" s="15"/>
      <c r="U777" s="16"/>
      <c r="V777" s="17"/>
      <c r="W777" s="17"/>
      <c r="X777" s="11"/>
      <c r="Y777" s="18"/>
      <c r="Z777" s="19"/>
      <c r="AA777" s="18"/>
      <c r="AB777" s="20"/>
      <c r="AC777" s="29"/>
    </row>
    <row r="778" spans="13:29" x14ac:dyDescent="0.25">
      <c r="M778" s="9"/>
      <c r="N778" s="10"/>
      <c r="O778" s="11"/>
      <c r="P778" s="12"/>
      <c r="Q778" s="13"/>
      <c r="R778" s="14"/>
      <c r="S778" s="28"/>
      <c r="T778" s="15"/>
      <c r="U778" s="16"/>
      <c r="V778" s="17"/>
      <c r="W778" s="17"/>
      <c r="X778" s="11"/>
      <c r="Y778" s="18"/>
      <c r="Z778" s="19"/>
      <c r="AA778" s="18"/>
      <c r="AB778" s="20"/>
      <c r="AC778" s="29"/>
    </row>
    <row r="779" spans="13:29" x14ac:dyDescent="0.25">
      <c r="M779" s="9"/>
      <c r="N779" s="10"/>
      <c r="O779" s="11"/>
      <c r="P779" s="12"/>
      <c r="Q779" s="27"/>
      <c r="R779" s="14"/>
      <c r="S779" s="28"/>
      <c r="T779" s="15"/>
      <c r="U779" s="16"/>
      <c r="V779" s="17"/>
      <c r="W779" s="17"/>
      <c r="X779" s="11"/>
      <c r="Y779" s="18"/>
      <c r="Z779" s="19"/>
      <c r="AA779" s="18"/>
      <c r="AB779" s="20"/>
      <c r="AC779" s="29"/>
    </row>
    <row r="780" spans="13:29" x14ac:dyDescent="0.25">
      <c r="M780" s="9"/>
      <c r="N780" s="10"/>
      <c r="O780" s="11"/>
      <c r="P780" s="12"/>
      <c r="Q780" s="13"/>
      <c r="R780" s="14"/>
      <c r="S780" s="28"/>
      <c r="T780" s="15"/>
      <c r="U780" s="16"/>
      <c r="V780" s="17"/>
      <c r="W780" s="17"/>
      <c r="X780" s="11"/>
      <c r="Y780" s="18"/>
      <c r="Z780" s="19"/>
      <c r="AA780" s="18"/>
      <c r="AB780" s="20"/>
      <c r="AC780" s="44"/>
    </row>
    <row r="781" spans="13:29" x14ac:dyDescent="0.25">
      <c r="M781" s="9"/>
      <c r="N781" s="10"/>
      <c r="O781" s="11"/>
      <c r="P781" s="12"/>
      <c r="Q781" s="13"/>
      <c r="R781" s="14"/>
      <c r="S781" s="28"/>
      <c r="T781" s="15"/>
      <c r="U781" s="16"/>
      <c r="V781" s="17"/>
      <c r="W781" s="17"/>
      <c r="X781" s="11"/>
      <c r="Y781" s="18"/>
      <c r="Z781" s="19"/>
      <c r="AA781" s="18"/>
      <c r="AB781" s="20"/>
      <c r="AC781" s="29"/>
    </row>
    <row r="782" spans="13:29" x14ac:dyDescent="0.25">
      <c r="M782" s="9"/>
      <c r="N782" s="10"/>
      <c r="O782" s="11"/>
      <c r="P782" s="12"/>
      <c r="Q782" s="27"/>
      <c r="R782" s="14"/>
      <c r="S782" s="28"/>
      <c r="T782" s="15"/>
      <c r="U782" s="16"/>
      <c r="V782" s="17"/>
      <c r="W782" s="17"/>
      <c r="X782" s="11"/>
      <c r="Y782" s="18"/>
      <c r="Z782" s="19"/>
      <c r="AA782" s="18"/>
      <c r="AB782" s="20"/>
      <c r="AC782" s="29"/>
    </row>
    <row r="783" spans="13:29" x14ac:dyDescent="0.25">
      <c r="M783" s="9"/>
      <c r="N783" s="10"/>
      <c r="O783" s="11"/>
      <c r="P783" s="12"/>
      <c r="Q783" s="27"/>
      <c r="R783" s="14"/>
      <c r="S783" s="28"/>
      <c r="T783" s="15"/>
      <c r="U783" s="16"/>
      <c r="V783" s="17"/>
      <c r="W783" s="17"/>
      <c r="X783" s="11"/>
      <c r="Y783" s="18"/>
      <c r="Z783" s="19"/>
      <c r="AA783" s="18"/>
      <c r="AB783" s="20"/>
      <c r="AC783" s="29"/>
    </row>
    <row r="784" spans="13:29" x14ac:dyDescent="0.25">
      <c r="M784" s="9"/>
      <c r="N784" s="10"/>
      <c r="O784" s="11"/>
      <c r="P784" s="12"/>
      <c r="Q784" s="27"/>
      <c r="R784" s="14"/>
      <c r="S784" s="28"/>
      <c r="T784" s="15"/>
      <c r="U784" s="16"/>
      <c r="V784" s="17"/>
      <c r="W784" s="17"/>
      <c r="X784" s="11"/>
      <c r="Y784" s="18"/>
      <c r="Z784" s="19"/>
      <c r="AA784" s="18"/>
      <c r="AB784" s="20"/>
      <c r="AC784" s="44"/>
    </row>
    <row r="785" spans="13:29" x14ac:dyDescent="0.25">
      <c r="M785" s="9"/>
      <c r="N785" s="10"/>
      <c r="O785" s="11"/>
      <c r="P785" s="12"/>
      <c r="Q785" s="13"/>
      <c r="R785" s="14"/>
      <c r="S785" s="28"/>
      <c r="T785" s="15"/>
      <c r="U785" s="16"/>
      <c r="V785" s="17"/>
      <c r="W785" s="17"/>
      <c r="X785" s="11"/>
      <c r="Y785" s="18"/>
      <c r="Z785" s="19"/>
      <c r="AA785" s="18"/>
      <c r="AB785" s="20"/>
      <c r="AC785" s="29"/>
    </row>
    <row r="786" spans="13:29" x14ac:dyDescent="0.25">
      <c r="M786" s="9"/>
      <c r="N786" s="10"/>
      <c r="O786" s="11"/>
      <c r="P786" s="12"/>
      <c r="Q786" s="27"/>
      <c r="R786" s="14"/>
      <c r="S786" s="28"/>
      <c r="T786" s="15"/>
      <c r="U786" s="16"/>
      <c r="V786" s="17"/>
      <c r="W786" s="17"/>
      <c r="X786" s="11"/>
      <c r="Y786" s="18"/>
      <c r="Z786" s="19"/>
      <c r="AA786" s="18"/>
      <c r="AB786" s="20"/>
      <c r="AC786" s="29"/>
    </row>
    <row r="787" spans="13:29" x14ac:dyDescent="0.25">
      <c r="M787" s="9"/>
      <c r="N787" s="10"/>
      <c r="O787" s="11"/>
      <c r="P787" s="12"/>
      <c r="Q787" s="27"/>
      <c r="R787" s="14"/>
      <c r="S787" s="28"/>
      <c r="T787" s="15"/>
      <c r="U787" s="16"/>
      <c r="V787" s="17"/>
      <c r="W787" s="17"/>
      <c r="X787" s="11"/>
      <c r="Y787" s="18"/>
      <c r="Z787" s="19"/>
      <c r="AA787" s="18"/>
      <c r="AB787" s="20"/>
      <c r="AC787" s="29"/>
    </row>
    <row r="788" spans="13:29" x14ac:dyDescent="0.25">
      <c r="M788" s="9"/>
      <c r="N788" s="10"/>
      <c r="O788" s="11"/>
      <c r="P788" s="12"/>
      <c r="Q788" s="13"/>
      <c r="R788" s="14"/>
      <c r="S788" s="28"/>
      <c r="T788" s="15"/>
      <c r="U788" s="16"/>
      <c r="V788" s="17"/>
      <c r="W788" s="17"/>
      <c r="X788" s="11"/>
      <c r="Y788" s="18"/>
      <c r="Z788" s="19"/>
      <c r="AA788" s="18"/>
      <c r="AB788" s="20"/>
      <c r="AC788" s="44"/>
    </row>
    <row r="789" spans="13:29" x14ac:dyDescent="0.25">
      <c r="M789" s="9"/>
      <c r="N789" s="10"/>
      <c r="O789" s="11"/>
      <c r="P789" s="12"/>
      <c r="Q789" s="13"/>
      <c r="R789" s="14"/>
      <c r="S789" s="28"/>
      <c r="T789" s="15"/>
      <c r="U789" s="16"/>
      <c r="V789" s="17"/>
      <c r="W789" s="17"/>
      <c r="X789" s="11"/>
      <c r="Y789" s="18"/>
      <c r="Z789" s="19"/>
      <c r="AA789" s="18"/>
      <c r="AB789" s="20"/>
      <c r="AC789" s="29"/>
    </row>
    <row r="790" spans="13:29" x14ac:dyDescent="0.25">
      <c r="M790" s="9"/>
      <c r="N790" s="10"/>
      <c r="O790" s="11"/>
      <c r="P790" s="12"/>
      <c r="Q790" s="13"/>
      <c r="R790" s="14"/>
      <c r="S790" s="28"/>
      <c r="T790" s="15"/>
      <c r="U790" s="16"/>
      <c r="V790" s="17"/>
      <c r="W790" s="17"/>
      <c r="X790" s="11"/>
      <c r="Y790" s="18"/>
      <c r="Z790" s="19"/>
      <c r="AA790" s="18"/>
      <c r="AB790" s="20"/>
      <c r="AC790" s="44"/>
    </row>
    <row r="791" spans="13:29" x14ac:dyDescent="0.25">
      <c r="M791" s="9"/>
      <c r="N791" s="10"/>
      <c r="O791" s="11"/>
      <c r="P791" s="12"/>
      <c r="Q791" s="13"/>
      <c r="R791" s="14"/>
      <c r="S791" s="28"/>
      <c r="T791" s="15"/>
      <c r="U791" s="16"/>
      <c r="V791" s="17"/>
      <c r="W791" s="17"/>
      <c r="X791" s="11"/>
      <c r="Y791" s="18"/>
      <c r="Z791" s="19"/>
      <c r="AA791" s="18"/>
      <c r="AB791" s="20"/>
      <c r="AC791" s="29"/>
    </row>
    <row r="792" spans="13:29" x14ac:dyDescent="0.25">
      <c r="M792" s="9"/>
      <c r="N792" s="10"/>
      <c r="O792" s="11"/>
      <c r="P792" s="12"/>
      <c r="Q792" s="27"/>
      <c r="R792" s="14"/>
      <c r="S792" s="28"/>
      <c r="T792" s="15"/>
      <c r="U792" s="16"/>
      <c r="V792" s="17"/>
      <c r="W792" s="17"/>
      <c r="X792" s="11"/>
      <c r="Y792" s="18"/>
      <c r="Z792" s="19"/>
      <c r="AA792" s="18"/>
      <c r="AB792" s="20"/>
      <c r="AC792" s="29"/>
    </row>
    <row r="793" spans="13:29" x14ac:dyDescent="0.25">
      <c r="M793" s="9"/>
      <c r="N793" s="10"/>
      <c r="O793" s="11"/>
      <c r="P793" s="12"/>
      <c r="Q793" s="27"/>
      <c r="R793" s="14"/>
      <c r="S793" s="28"/>
      <c r="T793" s="15"/>
      <c r="U793" s="16"/>
      <c r="V793" s="17"/>
      <c r="W793" s="17"/>
      <c r="X793" s="11"/>
      <c r="Y793" s="18"/>
      <c r="Z793" s="19"/>
      <c r="AA793" s="18"/>
      <c r="AB793" s="20"/>
      <c r="AC793" s="29"/>
    </row>
    <row r="794" spans="13:29" x14ac:dyDescent="0.25">
      <c r="M794" s="9"/>
      <c r="N794" s="10"/>
      <c r="O794" s="11"/>
      <c r="P794" s="12"/>
      <c r="Q794" s="27"/>
      <c r="R794" s="14"/>
      <c r="S794" s="28"/>
      <c r="T794" s="15"/>
      <c r="U794" s="16"/>
      <c r="V794" s="17"/>
      <c r="W794" s="17"/>
      <c r="X794" s="11"/>
      <c r="Y794" s="18"/>
      <c r="Z794" s="19"/>
      <c r="AA794" s="18"/>
      <c r="AB794" s="20"/>
      <c r="AC794" s="29"/>
    </row>
    <row r="795" spans="13:29" x14ac:dyDescent="0.25">
      <c r="M795" s="9"/>
      <c r="N795" s="10"/>
      <c r="O795" s="11"/>
      <c r="P795" s="12"/>
      <c r="Q795" s="27"/>
      <c r="R795" s="14"/>
      <c r="S795" s="28"/>
      <c r="T795" s="15"/>
      <c r="U795" s="16"/>
      <c r="V795" s="17"/>
      <c r="W795" s="17"/>
      <c r="X795" s="11"/>
      <c r="Y795" s="18"/>
      <c r="Z795" s="19"/>
      <c r="AA795" s="18"/>
      <c r="AB795" s="20"/>
      <c r="AC795" s="29"/>
    </row>
    <row r="796" spans="13:29" x14ac:dyDescent="0.25">
      <c r="M796" s="9"/>
      <c r="N796" s="10"/>
      <c r="O796" s="11"/>
      <c r="P796" s="12"/>
      <c r="Q796" s="27"/>
      <c r="R796" s="14"/>
      <c r="S796" s="28"/>
      <c r="T796" s="15"/>
      <c r="U796" s="16"/>
      <c r="V796" s="17"/>
      <c r="W796" s="17"/>
      <c r="X796" s="11"/>
      <c r="Y796" s="18"/>
      <c r="Z796" s="19"/>
      <c r="AA796" s="18"/>
      <c r="AB796" s="20"/>
      <c r="AC796" s="29"/>
    </row>
    <row r="797" spans="13:29" x14ac:dyDescent="0.25">
      <c r="M797" s="9"/>
      <c r="N797" s="10"/>
      <c r="O797" s="11"/>
      <c r="P797" s="12"/>
      <c r="Q797" s="27"/>
      <c r="R797" s="14"/>
      <c r="S797" s="28"/>
      <c r="T797" s="15"/>
      <c r="U797" s="16"/>
      <c r="V797" s="17"/>
      <c r="W797" s="17"/>
      <c r="X797" s="11"/>
      <c r="Y797" s="18"/>
      <c r="Z797" s="19"/>
      <c r="AA797" s="18"/>
      <c r="AB797" s="20"/>
      <c r="AC797" s="29"/>
    </row>
    <row r="798" spans="13:29" x14ac:dyDescent="0.25">
      <c r="M798" s="9"/>
      <c r="N798" s="10"/>
      <c r="O798" s="11"/>
      <c r="P798" s="12"/>
      <c r="Q798" s="27"/>
      <c r="R798" s="14"/>
      <c r="S798" s="28"/>
      <c r="T798" s="15"/>
      <c r="U798" s="16"/>
      <c r="V798" s="17"/>
      <c r="W798" s="17"/>
      <c r="X798" s="11"/>
      <c r="Y798" s="18"/>
      <c r="Z798" s="19"/>
      <c r="AA798" s="18"/>
      <c r="AB798" s="20"/>
      <c r="AC798" s="29"/>
    </row>
    <row r="799" spans="13:29" x14ac:dyDescent="0.25">
      <c r="M799" s="9"/>
      <c r="N799" s="10"/>
      <c r="O799" s="11"/>
      <c r="P799" s="12"/>
      <c r="Q799" s="27"/>
      <c r="R799" s="14"/>
      <c r="S799" s="28"/>
      <c r="T799" s="15"/>
      <c r="U799" s="16"/>
      <c r="V799" s="17"/>
      <c r="W799" s="17"/>
      <c r="X799" s="11"/>
      <c r="Y799" s="18"/>
      <c r="Z799" s="19"/>
      <c r="AA799" s="18"/>
      <c r="AB799" s="20"/>
      <c r="AC799" s="29"/>
    </row>
    <row r="800" spans="13:29" x14ac:dyDescent="0.25">
      <c r="M800" s="9"/>
      <c r="N800" s="10"/>
      <c r="O800" s="11"/>
      <c r="P800" s="12"/>
      <c r="Q800" s="27"/>
      <c r="R800" s="14"/>
      <c r="S800" s="28"/>
      <c r="T800" s="15"/>
      <c r="U800" s="16"/>
      <c r="V800" s="17"/>
      <c r="W800" s="17"/>
      <c r="X800" s="11"/>
      <c r="Y800" s="18"/>
      <c r="Z800" s="19"/>
      <c r="AA800" s="18"/>
      <c r="AB800" s="20"/>
      <c r="AC800" s="29"/>
    </row>
    <row r="801" spans="13:29" x14ac:dyDescent="0.25">
      <c r="M801" s="9"/>
      <c r="N801" s="10"/>
      <c r="O801" s="11"/>
      <c r="P801" s="12"/>
      <c r="Q801" s="27"/>
      <c r="R801" s="14"/>
      <c r="S801" s="28"/>
      <c r="T801" s="15"/>
      <c r="U801" s="16"/>
      <c r="V801" s="17"/>
      <c r="W801" s="17"/>
      <c r="X801" s="11"/>
      <c r="Y801" s="18"/>
      <c r="Z801" s="19"/>
      <c r="AA801" s="18"/>
      <c r="AB801" s="20"/>
      <c r="AC801" s="29"/>
    </row>
    <row r="802" spans="13:29" x14ac:dyDescent="0.25">
      <c r="M802" s="9"/>
      <c r="N802" s="10"/>
      <c r="O802" s="11"/>
      <c r="P802" s="12"/>
      <c r="Q802" s="27"/>
      <c r="R802" s="14"/>
      <c r="S802" s="28"/>
      <c r="T802" s="15"/>
      <c r="U802" s="16"/>
      <c r="V802" s="17"/>
      <c r="W802" s="17"/>
      <c r="X802" s="11"/>
      <c r="Y802" s="18"/>
      <c r="Z802" s="19"/>
      <c r="AA802" s="18"/>
      <c r="AB802" s="20"/>
      <c r="AC802" s="29"/>
    </row>
    <row r="803" spans="13:29" x14ac:dyDescent="0.25">
      <c r="M803" s="9"/>
      <c r="N803" s="10"/>
      <c r="O803" s="11"/>
      <c r="P803" s="12"/>
      <c r="Q803" s="27"/>
      <c r="R803" s="14"/>
      <c r="S803" s="28"/>
      <c r="T803" s="15"/>
      <c r="U803" s="16"/>
      <c r="V803" s="17"/>
      <c r="W803" s="17"/>
      <c r="X803" s="11"/>
      <c r="Y803" s="18"/>
      <c r="Z803" s="19"/>
      <c r="AA803" s="18"/>
      <c r="AB803" s="20"/>
      <c r="AC803" s="29"/>
    </row>
    <row r="804" spans="13:29" x14ac:dyDescent="0.25">
      <c r="M804" s="9"/>
      <c r="N804" s="10"/>
      <c r="O804" s="11"/>
      <c r="P804" s="12"/>
      <c r="Q804" s="27"/>
      <c r="R804" s="14"/>
      <c r="S804" s="28"/>
      <c r="T804" s="15"/>
      <c r="U804" s="16"/>
      <c r="V804" s="17"/>
      <c r="W804" s="17"/>
      <c r="X804" s="11"/>
      <c r="Y804" s="18"/>
      <c r="Z804" s="19"/>
      <c r="AA804" s="18"/>
      <c r="AB804" s="20"/>
      <c r="AC804" s="29"/>
    </row>
    <row r="805" spans="13:29" x14ac:dyDescent="0.25">
      <c r="M805" s="9"/>
      <c r="N805" s="10"/>
      <c r="O805" s="11"/>
      <c r="P805" s="12"/>
      <c r="Q805" s="27"/>
      <c r="R805" s="14"/>
      <c r="S805" s="28"/>
      <c r="T805" s="15"/>
      <c r="U805" s="16"/>
      <c r="V805" s="17"/>
      <c r="W805" s="17"/>
      <c r="X805" s="11"/>
      <c r="Y805" s="18"/>
      <c r="Z805" s="19"/>
      <c r="AA805" s="18"/>
      <c r="AB805" s="20"/>
      <c r="AC805" s="29"/>
    </row>
    <row r="806" spans="13:29" x14ac:dyDescent="0.25">
      <c r="M806" s="9"/>
      <c r="N806" s="10"/>
      <c r="O806" s="11"/>
      <c r="P806" s="12"/>
      <c r="Q806" s="27"/>
      <c r="R806" s="14"/>
      <c r="S806" s="28"/>
      <c r="T806" s="15"/>
      <c r="U806" s="16"/>
      <c r="V806" s="17"/>
      <c r="W806" s="17"/>
      <c r="X806" s="11"/>
      <c r="Y806" s="18"/>
      <c r="Z806" s="19"/>
      <c r="AA806" s="18"/>
      <c r="AB806" s="20"/>
      <c r="AC806" s="29"/>
    </row>
    <row r="807" spans="13:29" x14ac:dyDescent="0.25">
      <c r="M807" s="9"/>
      <c r="N807" s="10"/>
      <c r="O807" s="11"/>
      <c r="P807" s="12"/>
      <c r="Q807" s="13"/>
      <c r="R807" s="14"/>
      <c r="S807" s="28"/>
      <c r="T807" s="15"/>
      <c r="U807" s="16"/>
      <c r="V807" s="17"/>
      <c r="W807" s="17"/>
      <c r="X807" s="11"/>
      <c r="Y807" s="18"/>
      <c r="Z807" s="19"/>
      <c r="AA807" s="18"/>
      <c r="AB807" s="20"/>
      <c r="AC807" s="29"/>
    </row>
    <row r="808" spans="13:29" x14ac:dyDescent="0.25">
      <c r="M808" s="9"/>
      <c r="N808" s="10"/>
      <c r="O808" s="11"/>
      <c r="P808" s="12"/>
      <c r="Q808" s="13"/>
      <c r="R808" s="14"/>
      <c r="S808" s="28"/>
      <c r="T808" s="15"/>
      <c r="U808" s="16"/>
      <c r="V808" s="17"/>
      <c r="W808" s="17"/>
      <c r="X808" s="11"/>
      <c r="Y808" s="18"/>
      <c r="Z808" s="19"/>
      <c r="AA808" s="18"/>
      <c r="AB808" s="20"/>
      <c r="AC808" s="29"/>
    </row>
    <row r="809" spans="13:29" x14ac:dyDescent="0.25">
      <c r="M809" s="9"/>
      <c r="N809" s="10"/>
      <c r="O809" s="11"/>
      <c r="P809" s="12"/>
      <c r="Q809" s="27"/>
      <c r="R809" s="14"/>
      <c r="S809" s="28"/>
      <c r="T809" s="15"/>
      <c r="U809" s="16"/>
      <c r="V809" s="17"/>
      <c r="W809" s="17"/>
      <c r="X809" s="11"/>
      <c r="Y809" s="18"/>
      <c r="Z809" s="19"/>
      <c r="AA809" s="18"/>
      <c r="AB809" s="20"/>
      <c r="AC809" s="29"/>
    </row>
    <row r="810" spans="13:29" x14ac:dyDescent="0.25">
      <c r="M810" s="9"/>
      <c r="N810" s="10"/>
      <c r="O810" s="11"/>
      <c r="P810" s="12"/>
      <c r="Q810" s="27"/>
      <c r="R810" s="14"/>
      <c r="S810" s="28"/>
      <c r="T810" s="15"/>
      <c r="U810" s="16"/>
      <c r="V810" s="17"/>
      <c r="W810" s="17"/>
      <c r="X810" s="11"/>
      <c r="Y810" s="18"/>
      <c r="Z810" s="19"/>
      <c r="AA810" s="18"/>
      <c r="AB810" s="20"/>
      <c r="AC810" s="29"/>
    </row>
    <row r="811" spans="13:29" x14ac:dyDescent="0.25">
      <c r="M811" s="9"/>
      <c r="N811" s="10"/>
      <c r="O811" s="11"/>
      <c r="P811" s="12"/>
      <c r="Q811" s="27"/>
      <c r="R811" s="14"/>
      <c r="S811" s="28"/>
      <c r="T811" s="15"/>
      <c r="U811" s="16"/>
      <c r="V811" s="17"/>
      <c r="W811" s="17"/>
      <c r="X811" s="11"/>
      <c r="Y811" s="18"/>
      <c r="Z811" s="19"/>
      <c r="AA811" s="18"/>
      <c r="AB811" s="20"/>
      <c r="AC811" s="29"/>
    </row>
    <row r="812" spans="13:29" x14ac:dyDescent="0.25">
      <c r="M812" s="9"/>
      <c r="N812" s="10"/>
      <c r="O812" s="11"/>
      <c r="P812" s="12"/>
      <c r="Q812" s="27"/>
      <c r="R812" s="14"/>
      <c r="S812" s="28"/>
      <c r="T812" s="15"/>
      <c r="U812" s="16"/>
      <c r="V812" s="17"/>
      <c r="W812" s="17"/>
      <c r="X812" s="11"/>
      <c r="Y812" s="18"/>
      <c r="Z812" s="19"/>
      <c r="AA812" s="18"/>
      <c r="AB812" s="20"/>
      <c r="AC812" s="29"/>
    </row>
    <row r="813" spans="13:29" x14ac:dyDescent="0.25">
      <c r="M813" s="9"/>
      <c r="N813" s="10"/>
      <c r="O813" s="11"/>
      <c r="P813" s="12"/>
      <c r="Q813" s="27"/>
      <c r="R813" s="14"/>
      <c r="S813" s="28"/>
      <c r="T813" s="15"/>
      <c r="U813" s="16"/>
      <c r="V813" s="17"/>
      <c r="W813" s="17"/>
      <c r="X813" s="11"/>
      <c r="Y813" s="18"/>
      <c r="Z813" s="19"/>
      <c r="AA813" s="18"/>
      <c r="AB813" s="20"/>
      <c r="AC813" s="29"/>
    </row>
    <row r="814" spans="13:29" x14ac:dyDescent="0.25">
      <c r="M814" s="9"/>
      <c r="N814" s="10"/>
      <c r="O814" s="11"/>
      <c r="P814" s="12"/>
      <c r="Q814" s="27"/>
      <c r="R814" s="14"/>
      <c r="S814" s="28"/>
      <c r="T814" s="15"/>
      <c r="U814" s="16"/>
      <c r="V814" s="17"/>
      <c r="W814" s="17"/>
      <c r="X814" s="11"/>
      <c r="Y814" s="18"/>
      <c r="Z814" s="19"/>
      <c r="AA814" s="18"/>
      <c r="AB814" s="20"/>
      <c r="AC814" s="29"/>
    </row>
    <row r="815" spans="13:29" x14ac:dyDescent="0.25">
      <c r="M815" s="9"/>
      <c r="N815" s="10"/>
      <c r="O815" s="11"/>
      <c r="P815" s="12"/>
      <c r="Q815" s="27"/>
      <c r="R815" s="14"/>
      <c r="S815" s="28"/>
      <c r="T815" s="15"/>
      <c r="U815" s="16"/>
      <c r="V815" s="17"/>
      <c r="W815" s="17"/>
      <c r="X815" s="11"/>
      <c r="Y815" s="18"/>
      <c r="Z815" s="19"/>
      <c r="AA815" s="18"/>
      <c r="AB815" s="20"/>
      <c r="AC815" s="29"/>
    </row>
    <row r="816" spans="13:29" x14ac:dyDescent="0.25">
      <c r="M816" s="9"/>
      <c r="N816" s="10"/>
      <c r="O816" s="11"/>
      <c r="P816" s="12"/>
      <c r="Q816" s="27"/>
      <c r="R816" s="14"/>
      <c r="S816" s="28"/>
      <c r="T816" s="15"/>
      <c r="U816" s="16"/>
      <c r="V816" s="17"/>
      <c r="W816" s="17"/>
      <c r="X816" s="11"/>
      <c r="Y816" s="18"/>
      <c r="Z816" s="19"/>
      <c r="AA816" s="18"/>
      <c r="AB816" s="20"/>
      <c r="AC816" s="29"/>
    </row>
    <row r="817" spans="13:29" x14ac:dyDescent="0.25">
      <c r="M817" s="9"/>
      <c r="N817" s="10"/>
      <c r="O817" s="11"/>
      <c r="P817" s="12"/>
      <c r="Q817" s="27"/>
      <c r="R817" s="14"/>
      <c r="S817" s="28"/>
      <c r="T817" s="15"/>
      <c r="U817" s="16"/>
      <c r="V817" s="17"/>
      <c r="W817" s="17"/>
      <c r="X817" s="11"/>
      <c r="Y817" s="18"/>
      <c r="Z817" s="19"/>
      <c r="AA817" s="18"/>
      <c r="AB817" s="20"/>
      <c r="AC817" s="29"/>
    </row>
    <row r="818" spans="13:29" x14ac:dyDescent="0.25">
      <c r="M818" s="9"/>
      <c r="N818" s="10"/>
      <c r="O818" s="11"/>
      <c r="P818" s="12"/>
      <c r="Q818" s="27"/>
      <c r="R818" s="14"/>
      <c r="S818" s="28"/>
      <c r="T818" s="15"/>
      <c r="U818" s="16"/>
      <c r="V818" s="17"/>
      <c r="W818" s="17"/>
      <c r="X818" s="11"/>
      <c r="Y818" s="18"/>
      <c r="Z818" s="19"/>
      <c r="AA818" s="18"/>
      <c r="AB818" s="20"/>
      <c r="AC818" s="29"/>
    </row>
    <row r="819" spans="13:29" x14ac:dyDescent="0.25">
      <c r="M819" s="9"/>
      <c r="N819" s="10"/>
      <c r="O819" s="11"/>
      <c r="P819" s="12"/>
      <c r="Q819" s="27"/>
      <c r="R819" s="14"/>
      <c r="S819" s="28"/>
      <c r="T819" s="15"/>
      <c r="U819" s="16"/>
      <c r="V819" s="17"/>
      <c r="W819" s="17"/>
      <c r="X819" s="11"/>
      <c r="Y819" s="18"/>
      <c r="Z819" s="19"/>
      <c r="AA819" s="18"/>
      <c r="AB819" s="20"/>
      <c r="AC819" s="29"/>
    </row>
    <row r="820" spans="13:29" x14ac:dyDescent="0.25">
      <c r="M820" s="9"/>
      <c r="N820" s="10"/>
      <c r="O820" s="11"/>
      <c r="P820" s="12"/>
      <c r="Q820" s="27"/>
      <c r="R820" s="14"/>
      <c r="S820" s="28"/>
      <c r="T820" s="15"/>
      <c r="U820" s="16"/>
      <c r="V820" s="17"/>
      <c r="W820" s="17"/>
      <c r="X820" s="11"/>
      <c r="Y820" s="18"/>
      <c r="Z820" s="19"/>
      <c r="AA820" s="18"/>
      <c r="AB820" s="20"/>
      <c r="AC820" s="29"/>
    </row>
    <row r="821" spans="13:29" x14ac:dyDescent="0.25">
      <c r="M821" s="9"/>
      <c r="N821" s="10"/>
      <c r="O821" s="11"/>
      <c r="P821" s="12"/>
      <c r="Q821" s="27"/>
      <c r="R821" s="14"/>
      <c r="S821" s="28"/>
      <c r="T821" s="15"/>
      <c r="U821" s="16"/>
      <c r="V821" s="17"/>
      <c r="W821" s="17"/>
      <c r="X821" s="11"/>
      <c r="Y821" s="18"/>
      <c r="Z821" s="19"/>
      <c r="AA821" s="18"/>
      <c r="AB821" s="20"/>
      <c r="AC821" s="29"/>
    </row>
    <row r="822" spans="13:29" x14ac:dyDescent="0.25">
      <c r="M822" s="9"/>
      <c r="N822" s="10"/>
      <c r="O822" s="11"/>
      <c r="P822" s="12"/>
      <c r="Q822" s="27"/>
      <c r="R822" s="14"/>
      <c r="S822" s="28"/>
      <c r="T822" s="15"/>
      <c r="U822" s="16"/>
      <c r="V822" s="17"/>
      <c r="W822" s="17"/>
      <c r="X822" s="11"/>
      <c r="Y822" s="18"/>
      <c r="Z822" s="19"/>
      <c r="AA822" s="18"/>
      <c r="AB822" s="20"/>
      <c r="AC822" s="29"/>
    </row>
    <row r="823" spans="13:29" x14ac:dyDescent="0.25">
      <c r="M823" s="9"/>
      <c r="N823" s="10"/>
      <c r="O823" s="11"/>
      <c r="P823" s="12"/>
      <c r="Q823" s="27"/>
      <c r="R823" s="14"/>
      <c r="S823" s="28"/>
      <c r="T823" s="15"/>
      <c r="U823" s="16"/>
      <c r="V823" s="17"/>
      <c r="W823" s="17"/>
      <c r="X823" s="11"/>
      <c r="Y823" s="18"/>
      <c r="Z823" s="19"/>
      <c r="AA823" s="18"/>
      <c r="AB823" s="20"/>
      <c r="AC823" s="29"/>
    </row>
    <row r="824" spans="13:29" x14ac:dyDescent="0.25">
      <c r="M824" s="9"/>
      <c r="N824" s="10"/>
      <c r="O824" s="11"/>
      <c r="P824" s="12"/>
      <c r="Q824" s="27"/>
      <c r="R824" s="14"/>
      <c r="S824" s="28"/>
      <c r="T824" s="15"/>
      <c r="U824" s="16"/>
      <c r="V824" s="17"/>
      <c r="W824" s="17"/>
      <c r="X824" s="11"/>
      <c r="Y824" s="18"/>
      <c r="Z824" s="19"/>
      <c r="AA824" s="18"/>
      <c r="AB824" s="20"/>
      <c r="AC824" s="29"/>
    </row>
    <row r="825" spans="13:29" x14ac:dyDescent="0.25">
      <c r="M825" s="9"/>
      <c r="N825" s="10"/>
      <c r="O825" s="11"/>
      <c r="P825" s="12"/>
      <c r="Q825" s="27"/>
      <c r="R825" s="14"/>
      <c r="S825" s="28"/>
      <c r="T825" s="15"/>
      <c r="U825" s="16"/>
      <c r="V825" s="17"/>
      <c r="W825" s="17"/>
      <c r="X825" s="11"/>
      <c r="Y825" s="18"/>
      <c r="Z825" s="19"/>
      <c r="AA825" s="18"/>
      <c r="AB825" s="20"/>
      <c r="AC825" s="29"/>
    </row>
    <row r="826" spans="13:29" x14ac:dyDescent="0.25">
      <c r="M826" s="9"/>
      <c r="N826" s="10"/>
      <c r="O826" s="11"/>
      <c r="P826" s="12"/>
      <c r="Q826" s="27"/>
      <c r="R826" s="14"/>
      <c r="S826" s="28"/>
      <c r="T826" s="15"/>
      <c r="U826" s="16"/>
      <c r="V826" s="17"/>
      <c r="W826" s="17"/>
      <c r="X826" s="11"/>
      <c r="Y826" s="18"/>
      <c r="Z826" s="19"/>
      <c r="AA826" s="18"/>
      <c r="AB826" s="20"/>
      <c r="AC826" s="29"/>
    </row>
    <row r="827" spans="13:29" x14ac:dyDescent="0.25">
      <c r="M827" s="9"/>
      <c r="N827" s="10"/>
      <c r="O827" s="11"/>
      <c r="P827" s="12"/>
      <c r="Q827" s="27"/>
      <c r="R827" s="14"/>
      <c r="S827" s="28"/>
      <c r="T827" s="15"/>
      <c r="U827" s="16"/>
      <c r="V827" s="17"/>
      <c r="W827" s="17"/>
      <c r="X827" s="11"/>
      <c r="Y827" s="18"/>
      <c r="Z827" s="19"/>
      <c r="AA827" s="18"/>
      <c r="AB827" s="20"/>
      <c r="AC827" s="29"/>
    </row>
    <row r="828" spans="13:29" x14ac:dyDescent="0.25">
      <c r="M828" s="9"/>
      <c r="N828" s="10"/>
      <c r="O828" s="11"/>
      <c r="P828" s="12"/>
      <c r="Q828" s="27"/>
      <c r="R828" s="14"/>
      <c r="S828" s="28"/>
      <c r="T828" s="15"/>
      <c r="U828" s="16"/>
      <c r="V828" s="17"/>
      <c r="W828" s="17"/>
      <c r="X828" s="11"/>
      <c r="Y828" s="18"/>
      <c r="Z828" s="19"/>
      <c r="AA828" s="18"/>
      <c r="AB828" s="20"/>
      <c r="AC828" s="29"/>
    </row>
    <row r="829" spans="13:29" x14ac:dyDescent="0.25">
      <c r="M829" s="9"/>
      <c r="N829" s="10"/>
      <c r="O829" s="11"/>
      <c r="P829" s="12"/>
      <c r="Q829" s="27"/>
      <c r="R829" s="14"/>
      <c r="S829" s="28"/>
      <c r="T829" s="15"/>
      <c r="U829" s="16"/>
      <c r="V829" s="17"/>
      <c r="W829" s="17"/>
      <c r="X829" s="11"/>
      <c r="Y829" s="18"/>
      <c r="Z829" s="19"/>
      <c r="AA829" s="18"/>
      <c r="AB829" s="20"/>
      <c r="AC829" s="29"/>
    </row>
    <row r="830" spans="13:29" x14ac:dyDescent="0.25">
      <c r="M830" s="9"/>
      <c r="N830" s="10"/>
      <c r="O830" s="11"/>
      <c r="P830" s="12"/>
      <c r="Q830" s="27"/>
      <c r="R830" s="14"/>
      <c r="S830" s="28"/>
      <c r="T830" s="15"/>
      <c r="U830" s="16"/>
      <c r="V830" s="17"/>
      <c r="W830" s="17"/>
      <c r="X830" s="11"/>
      <c r="Y830" s="18"/>
      <c r="Z830" s="19"/>
      <c r="AA830" s="18"/>
      <c r="AB830" s="20"/>
      <c r="AC830" s="29"/>
    </row>
    <row r="831" spans="13:29" x14ac:dyDescent="0.25">
      <c r="M831" s="9"/>
      <c r="N831" s="10"/>
      <c r="O831" s="11"/>
      <c r="P831" s="12"/>
      <c r="Q831" s="27"/>
      <c r="R831" s="14"/>
      <c r="S831" s="28"/>
      <c r="T831" s="15"/>
      <c r="U831" s="16"/>
      <c r="V831" s="17"/>
      <c r="W831" s="17"/>
      <c r="X831" s="11"/>
      <c r="Y831" s="18"/>
      <c r="Z831" s="19"/>
      <c r="AA831" s="18"/>
      <c r="AB831" s="20"/>
      <c r="AC831" s="29"/>
    </row>
    <row r="832" spans="13:29" x14ac:dyDescent="0.25">
      <c r="M832" s="9"/>
      <c r="N832" s="10"/>
      <c r="O832" s="11"/>
      <c r="P832" s="12"/>
      <c r="Q832" s="27"/>
      <c r="R832" s="14"/>
      <c r="S832" s="28"/>
      <c r="T832" s="15"/>
      <c r="U832" s="16"/>
      <c r="V832" s="17"/>
      <c r="W832" s="17"/>
      <c r="X832" s="11"/>
      <c r="Y832" s="18"/>
      <c r="Z832" s="19"/>
      <c r="AA832" s="18"/>
      <c r="AB832" s="20"/>
      <c r="AC832" s="29"/>
    </row>
    <row r="833" spans="13:29" x14ac:dyDescent="0.25">
      <c r="M833" s="9"/>
      <c r="N833" s="10"/>
      <c r="O833" s="11"/>
      <c r="P833" s="12"/>
      <c r="Q833" s="27"/>
      <c r="R833" s="14"/>
      <c r="S833" s="28"/>
      <c r="T833" s="15"/>
      <c r="U833" s="16"/>
      <c r="V833" s="17"/>
      <c r="W833" s="17"/>
      <c r="X833" s="11"/>
      <c r="Y833" s="18"/>
      <c r="Z833" s="19"/>
      <c r="AA833" s="18"/>
      <c r="AB833" s="20"/>
      <c r="AC833" s="29"/>
    </row>
    <row r="834" spans="13:29" x14ac:dyDescent="0.25">
      <c r="M834" s="9"/>
      <c r="N834" s="10"/>
      <c r="O834" s="11"/>
      <c r="P834" s="12"/>
      <c r="Q834" s="27"/>
      <c r="R834" s="14"/>
      <c r="S834" s="28"/>
      <c r="T834" s="15"/>
      <c r="U834" s="16"/>
      <c r="V834" s="17"/>
      <c r="W834" s="17"/>
      <c r="X834" s="11"/>
      <c r="Y834" s="18"/>
      <c r="Z834" s="19"/>
      <c r="AA834" s="18"/>
      <c r="AB834" s="20"/>
      <c r="AC834" s="29"/>
    </row>
    <row r="835" spans="13:29" x14ac:dyDescent="0.25">
      <c r="M835" s="9"/>
      <c r="N835" s="10"/>
      <c r="O835" s="11"/>
      <c r="P835" s="12"/>
      <c r="Q835" s="27"/>
      <c r="R835" s="14"/>
      <c r="S835" s="28"/>
      <c r="T835" s="15"/>
      <c r="U835" s="16"/>
      <c r="V835" s="17"/>
      <c r="W835" s="17"/>
      <c r="X835" s="11"/>
      <c r="Y835" s="18"/>
      <c r="Z835" s="19"/>
      <c r="AA835" s="18"/>
      <c r="AB835" s="20"/>
      <c r="AC835" s="29"/>
    </row>
    <row r="836" spans="13:29" x14ac:dyDescent="0.25">
      <c r="M836" s="9"/>
      <c r="N836" s="10"/>
      <c r="O836" s="11"/>
      <c r="P836" s="12"/>
      <c r="Q836" s="27"/>
      <c r="R836" s="14"/>
      <c r="S836" s="28"/>
      <c r="T836" s="15"/>
      <c r="U836" s="16"/>
      <c r="V836" s="17"/>
      <c r="W836" s="17"/>
      <c r="X836" s="11"/>
      <c r="Y836" s="18"/>
      <c r="Z836" s="19"/>
      <c r="AA836" s="18"/>
      <c r="AB836" s="20"/>
      <c r="AC836" s="29"/>
    </row>
    <row r="837" spans="13:29" x14ac:dyDescent="0.25">
      <c r="M837" s="9"/>
      <c r="N837" s="10"/>
      <c r="O837" s="11"/>
      <c r="P837" s="12"/>
      <c r="Q837" s="27"/>
      <c r="R837" s="14"/>
      <c r="S837" s="28"/>
      <c r="T837" s="15"/>
      <c r="U837" s="16"/>
      <c r="V837" s="17"/>
      <c r="W837" s="17"/>
      <c r="X837" s="11"/>
      <c r="Y837" s="18"/>
      <c r="Z837" s="19"/>
      <c r="AA837" s="18"/>
      <c r="AB837" s="20"/>
      <c r="AC837" s="29"/>
    </row>
    <row r="838" spans="13:29" x14ac:dyDescent="0.25">
      <c r="M838" s="9"/>
      <c r="N838" s="10"/>
      <c r="O838" s="11"/>
      <c r="P838" s="12"/>
      <c r="Q838" s="27"/>
      <c r="R838" s="14"/>
      <c r="S838" s="28"/>
      <c r="T838" s="15"/>
      <c r="U838" s="16"/>
      <c r="V838" s="17"/>
      <c r="W838" s="17"/>
      <c r="X838" s="11"/>
      <c r="Y838" s="18"/>
      <c r="Z838" s="19"/>
      <c r="AA838" s="18"/>
      <c r="AB838" s="20"/>
      <c r="AC838" s="29"/>
    </row>
    <row r="839" spans="13:29" x14ac:dyDescent="0.25">
      <c r="M839" s="9"/>
      <c r="N839" s="10"/>
      <c r="O839" s="11"/>
      <c r="P839" s="12"/>
      <c r="Q839" s="27"/>
      <c r="R839" s="14"/>
      <c r="S839" s="28"/>
      <c r="T839" s="15"/>
      <c r="U839" s="16"/>
      <c r="V839" s="17"/>
      <c r="W839" s="17"/>
      <c r="X839" s="11"/>
      <c r="Y839" s="18"/>
      <c r="Z839" s="19"/>
      <c r="AA839" s="18"/>
      <c r="AB839" s="20"/>
      <c r="AC839" s="29"/>
    </row>
    <row r="840" spans="13:29" x14ac:dyDescent="0.25">
      <c r="M840" s="9"/>
      <c r="N840" s="10"/>
      <c r="O840" s="11"/>
      <c r="P840" s="12"/>
      <c r="Q840" s="27"/>
      <c r="R840" s="14"/>
      <c r="S840" s="28"/>
      <c r="T840" s="15"/>
      <c r="U840" s="16"/>
      <c r="V840" s="17"/>
      <c r="W840" s="17"/>
      <c r="X840" s="11"/>
      <c r="Y840" s="18"/>
      <c r="Z840" s="19"/>
      <c r="AA840" s="18"/>
      <c r="AB840" s="20"/>
      <c r="AC840" s="29"/>
    </row>
    <row r="841" spans="13:29" x14ac:dyDescent="0.25">
      <c r="M841" s="9"/>
      <c r="N841" s="10"/>
      <c r="O841" s="11"/>
      <c r="P841" s="12"/>
      <c r="Q841" s="27"/>
      <c r="R841" s="14"/>
      <c r="S841" s="28"/>
      <c r="T841" s="15"/>
      <c r="U841" s="16"/>
      <c r="V841" s="17"/>
      <c r="W841" s="17"/>
      <c r="X841" s="11"/>
      <c r="Y841" s="18"/>
      <c r="Z841" s="19"/>
      <c r="AA841" s="18"/>
      <c r="AB841" s="20"/>
      <c r="AC841" s="29"/>
    </row>
    <row r="842" spans="13:29" x14ac:dyDescent="0.25">
      <c r="M842" s="9"/>
      <c r="N842" s="10"/>
      <c r="O842" s="11"/>
      <c r="P842" s="12"/>
      <c r="Q842" s="27"/>
      <c r="R842" s="14"/>
      <c r="S842" s="28"/>
      <c r="T842" s="15"/>
      <c r="U842" s="16"/>
      <c r="V842" s="17"/>
      <c r="W842" s="17"/>
      <c r="X842" s="11"/>
      <c r="Y842" s="18"/>
      <c r="Z842" s="19"/>
      <c r="AA842" s="18"/>
      <c r="AB842" s="20"/>
      <c r="AC842" s="29"/>
    </row>
    <row r="843" spans="13:29" x14ac:dyDescent="0.25">
      <c r="M843" s="9"/>
      <c r="N843" s="10"/>
      <c r="O843" s="11"/>
      <c r="P843" s="12"/>
      <c r="Q843" s="27"/>
      <c r="R843" s="14"/>
      <c r="S843" s="28"/>
      <c r="T843" s="15"/>
      <c r="U843" s="16"/>
      <c r="V843" s="17"/>
      <c r="W843" s="17"/>
      <c r="X843" s="11"/>
      <c r="Y843" s="18"/>
      <c r="Z843" s="19"/>
      <c r="AA843" s="18"/>
      <c r="AB843" s="20"/>
      <c r="AC843" s="29"/>
    </row>
    <row r="844" spans="13:29" x14ac:dyDescent="0.25">
      <c r="M844" s="9"/>
      <c r="N844" s="10"/>
      <c r="O844" s="11"/>
      <c r="P844" s="12"/>
      <c r="Q844" s="27"/>
      <c r="R844" s="14"/>
      <c r="S844" s="28"/>
      <c r="T844" s="15"/>
      <c r="U844" s="16"/>
      <c r="V844" s="17"/>
      <c r="W844" s="17"/>
      <c r="X844" s="11"/>
      <c r="Y844" s="18"/>
      <c r="Z844" s="19"/>
      <c r="AA844" s="18"/>
      <c r="AB844" s="20"/>
      <c r="AC844" s="29"/>
    </row>
    <row r="845" spans="13:29" x14ac:dyDescent="0.25">
      <c r="M845" s="9"/>
      <c r="N845" s="10"/>
      <c r="O845" s="11"/>
      <c r="P845" s="12"/>
      <c r="Q845" s="27"/>
      <c r="R845" s="14"/>
      <c r="S845" s="28"/>
      <c r="T845" s="15"/>
      <c r="U845" s="16"/>
      <c r="V845" s="17"/>
      <c r="W845" s="17"/>
      <c r="X845" s="11"/>
      <c r="Y845" s="18"/>
      <c r="Z845" s="19"/>
      <c r="AA845" s="18"/>
      <c r="AB845" s="20"/>
      <c r="AC845" s="29"/>
    </row>
    <row r="846" spans="13:29" x14ac:dyDescent="0.25">
      <c r="M846" s="9"/>
      <c r="N846" s="10"/>
      <c r="O846" s="11"/>
      <c r="P846" s="12"/>
      <c r="Q846" s="27"/>
      <c r="R846" s="14"/>
      <c r="S846" s="28"/>
      <c r="T846" s="15"/>
      <c r="U846" s="16"/>
      <c r="V846" s="17"/>
      <c r="W846" s="17"/>
      <c r="X846" s="11"/>
      <c r="Y846" s="18"/>
      <c r="Z846" s="19"/>
      <c r="AA846" s="18"/>
      <c r="AB846" s="20"/>
      <c r="AC846" s="29"/>
    </row>
    <row r="847" spans="13:29" x14ac:dyDescent="0.25">
      <c r="M847" s="9"/>
      <c r="N847" s="10"/>
      <c r="O847" s="11"/>
      <c r="P847" s="12"/>
      <c r="Q847" s="27"/>
      <c r="R847" s="14"/>
      <c r="S847" s="28"/>
      <c r="T847" s="15"/>
      <c r="U847" s="16"/>
      <c r="V847" s="17"/>
      <c r="W847" s="17"/>
      <c r="X847" s="11"/>
      <c r="Y847" s="18"/>
      <c r="Z847" s="19"/>
      <c r="AA847" s="18"/>
      <c r="AB847" s="20"/>
      <c r="AC847" s="29"/>
    </row>
    <row r="848" spans="13:29" x14ac:dyDescent="0.25">
      <c r="M848" s="9"/>
      <c r="N848" s="10"/>
      <c r="O848" s="11"/>
      <c r="P848" s="12"/>
      <c r="Q848" s="27"/>
      <c r="R848" s="14"/>
      <c r="S848" s="28"/>
      <c r="T848" s="15"/>
      <c r="U848" s="16"/>
      <c r="V848" s="17"/>
      <c r="W848" s="17"/>
      <c r="X848" s="11"/>
      <c r="Y848" s="18"/>
      <c r="Z848" s="19"/>
      <c r="AA848" s="18"/>
      <c r="AB848" s="20"/>
      <c r="AC848" s="29"/>
    </row>
    <row r="849" spans="13:29" x14ac:dyDescent="0.25">
      <c r="M849" s="9"/>
      <c r="N849" s="10"/>
      <c r="O849" s="11"/>
      <c r="P849" s="12"/>
      <c r="Q849" s="27"/>
      <c r="R849" s="14"/>
      <c r="S849" s="28"/>
      <c r="T849" s="15"/>
      <c r="U849" s="16"/>
      <c r="V849" s="17"/>
      <c r="W849" s="17"/>
      <c r="X849" s="11"/>
      <c r="Y849" s="18"/>
      <c r="Z849" s="19"/>
      <c r="AA849" s="18"/>
      <c r="AB849" s="20"/>
      <c r="AC849" s="29"/>
    </row>
    <row r="850" spans="13:29" x14ac:dyDescent="0.25">
      <c r="M850" s="9"/>
      <c r="N850" s="10"/>
      <c r="O850" s="11"/>
      <c r="P850" s="12"/>
      <c r="Q850" s="27"/>
      <c r="R850" s="14"/>
      <c r="S850" s="28"/>
      <c r="T850" s="15"/>
      <c r="U850" s="16"/>
      <c r="V850" s="17"/>
      <c r="W850" s="17"/>
      <c r="X850" s="11"/>
      <c r="Y850" s="18"/>
      <c r="Z850" s="19"/>
      <c r="AA850" s="18"/>
      <c r="AB850" s="20"/>
      <c r="AC850" s="29"/>
    </row>
    <row r="851" spans="13:29" x14ac:dyDescent="0.25">
      <c r="M851" s="9"/>
      <c r="N851" s="10"/>
      <c r="O851" s="11"/>
      <c r="P851" s="12"/>
      <c r="Q851" s="27"/>
      <c r="R851" s="14"/>
      <c r="S851" s="28"/>
      <c r="T851" s="15"/>
      <c r="U851" s="16"/>
      <c r="V851" s="17"/>
      <c r="W851" s="17"/>
      <c r="X851" s="11"/>
      <c r="Y851" s="18"/>
      <c r="Z851" s="19"/>
      <c r="AA851" s="18"/>
      <c r="AB851" s="20"/>
      <c r="AC851" s="29"/>
    </row>
    <row r="852" spans="13:29" x14ac:dyDescent="0.25">
      <c r="M852" s="9"/>
      <c r="N852" s="10"/>
      <c r="O852" s="11"/>
      <c r="P852" s="12"/>
      <c r="Q852" s="27"/>
      <c r="R852" s="14"/>
      <c r="S852" s="28"/>
      <c r="T852" s="15"/>
      <c r="U852" s="16"/>
      <c r="V852" s="17"/>
      <c r="W852" s="17"/>
      <c r="X852" s="11"/>
      <c r="Y852" s="18"/>
      <c r="Z852" s="19"/>
      <c r="AA852" s="18"/>
      <c r="AB852" s="20"/>
      <c r="AC852" s="29"/>
    </row>
  </sheetData>
  <autoFilter ref="A1:K60">
    <filterColumn colId="9">
      <filters>
        <filter val="#N/A"/>
      </filters>
    </filterColumn>
  </autoFilter>
  <conditionalFormatting sqref="B1">
    <cfRule type="duplicateValues" dxfId="183" priority="654"/>
  </conditionalFormatting>
  <conditionalFormatting sqref="B1">
    <cfRule type="duplicateValues" dxfId="182" priority="652"/>
    <cfRule type="duplicateValues" dxfId="181" priority="653"/>
  </conditionalFormatting>
  <conditionalFormatting sqref="B1">
    <cfRule type="duplicateValues" dxfId="180" priority="650"/>
    <cfRule type="duplicateValues" dxfId="179" priority="651"/>
  </conditionalFormatting>
  <conditionalFormatting sqref="B1">
    <cfRule type="duplicateValues" dxfId="178" priority="648"/>
    <cfRule type="duplicateValues" dxfId="177" priority="649"/>
  </conditionalFormatting>
  <conditionalFormatting sqref="B1">
    <cfRule type="duplicateValues" dxfId="176" priority="647"/>
  </conditionalFormatting>
  <conditionalFormatting sqref="B1">
    <cfRule type="duplicateValues" dxfId="175" priority="646"/>
  </conditionalFormatting>
  <conditionalFormatting sqref="B1">
    <cfRule type="duplicateValues" dxfId="174" priority="645"/>
  </conditionalFormatting>
  <conditionalFormatting sqref="B1">
    <cfRule type="duplicateValues" dxfId="173" priority="644"/>
  </conditionalFormatting>
  <conditionalFormatting sqref="B1">
    <cfRule type="duplicateValues" dxfId="172" priority="643"/>
  </conditionalFormatting>
  <conditionalFormatting sqref="B1">
    <cfRule type="duplicateValues" dxfId="171" priority="641"/>
    <cfRule type="duplicateValues" dxfId="170" priority="642"/>
  </conditionalFormatting>
  <conditionalFormatting sqref="B1">
    <cfRule type="duplicateValues" dxfId="169" priority="655"/>
  </conditionalFormatting>
  <conditionalFormatting sqref="B2:B31">
    <cfRule type="duplicateValues" dxfId="165" priority="726"/>
  </conditionalFormatting>
  <conditionalFormatting sqref="B2:B31">
    <cfRule type="duplicateValues" dxfId="164" priority="727"/>
    <cfRule type="duplicateValues" dxfId="163" priority="728"/>
  </conditionalFormatting>
  <conditionalFormatting sqref="B2:B31">
    <cfRule type="duplicateValues" dxfId="162" priority="729"/>
    <cfRule type="duplicateValues" dxfId="161" priority="730"/>
    <cfRule type="duplicateValues" dxfId="160" priority="731"/>
    <cfRule type="duplicateValues" dxfId="159" priority="732"/>
    <cfRule type="duplicateValues" dxfId="158" priority="733"/>
    <cfRule type="duplicateValues" dxfId="157" priority="734"/>
    <cfRule type="duplicateValues" dxfId="156" priority="735"/>
    <cfRule type="duplicateValues" dxfId="155" priority="736"/>
    <cfRule type="duplicateValues" dxfId="154" priority="737"/>
    <cfRule type="duplicateValues" dxfId="153" priority="738"/>
    <cfRule type="duplicateValues" dxfId="152" priority="739"/>
    <cfRule type="duplicateValues" dxfId="151" priority="740"/>
  </conditionalFormatting>
  <conditionalFormatting sqref="B2:B31">
    <cfRule type="duplicateValues" dxfId="150" priority="741"/>
    <cfRule type="duplicateValues" dxfId="149" priority="742"/>
    <cfRule type="duplicateValues" dxfId="148" priority="743"/>
  </conditionalFormatting>
  <conditionalFormatting sqref="AB171 AB155 AB158:AB168 AB129:AB143 AB174:AB348 AB385:AB852">
    <cfRule type="cellIs" dxfId="147" priority="200" operator="equal">
      <formula>"En servicio"</formula>
    </cfRule>
  </conditionalFormatting>
  <conditionalFormatting sqref="AC128:AC148 AC104:AC121 AC79:AC102 AC152:AC348 AC385:AC852">
    <cfRule type="cellIs" dxfId="146" priority="198" operator="equal">
      <formula>"Pendiente electrónica"</formula>
    </cfRule>
    <cfRule type="cellIs" dxfId="145" priority="199" operator="equal">
      <formula>"OK PUENTES"</formula>
    </cfRule>
  </conditionalFormatting>
  <conditionalFormatting sqref="AB169">
    <cfRule type="cellIs" dxfId="144" priority="197" operator="equal">
      <formula>"En servicio"</formula>
    </cfRule>
  </conditionalFormatting>
  <conditionalFormatting sqref="AB170">
    <cfRule type="cellIs" dxfId="143" priority="196" operator="equal">
      <formula>"En servicio"</formula>
    </cfRule>
  </conditionalFormatting>
  <conditionalFormatting sqref="AB172">
    <cfRule type="cellIs" dxfId="142" priority="195" operator="equal">
      <formula>"En servicio"</formula>
    </cfRule>
  </conditionalFormatting>
  <conditionalFormatting sqref="AB173">
    <cfRule type="cellIs" dxfId="141" priority="194" operator="equal">
      <formula>"En servicio"</formula>
    </cfRule>
  </conditionalFormatting>
  <conditionalFormatting sqref="AB154">
    <cfRule type="cellIs" dxfId="140" priority="193" operator="equal">
      <formula>"En servicio"</formula>
    </cfRule>
  </conditionalFormatting>
  <conditionalFormatting sqref="AB156">
    <cfRule type="cellIs" dxfId="139" priority="192" operator="equal">
      <formula>"En servicio"</formula>
    </cfRule>
  </conditionalFormatting>
  <conditionalFormatting sqref="AB157">
    <cfRule type="cellIs" dxfId="138" priority="191" operator="equal">
      <formula>"En servicio"</formula>
    </cfRule>
  </conditionalFormatting>
  <conditionalFormatting sqref="AB152">
    <cfRule type="cellIs" dxfId="137" priority="190" operator="equal">
      <formula>"En servicio"</formula>
    </cfRule>
  </conditionalFormatting>
  <conditionalFormatting sqref="AB153">
    <cfRule type="cellIs" dxfId="136" priority="189" operator="equal">
      <formula>"En servicio"</formula>
    </cfRule>
  </conditionalFormatting>
  <conditionalFormatting sqref="AB145">
    <cfRule type="cellIs" dxfId="135" priority="188" operator="equal">
      <formula>"En servicio"</formula>
    </cfRule>
  </conditionalFormatting>
  <conditionalFormatting sqref="AB146">
    <cfRule type="cellIs" dxfId="134" priority="187" operator="equal">
      <formula>"En servicio"</formula>
    </cfRule>
  </conditionalFormatting>
  <conditionalFormatting sqref="AB147">
    <cfRule type="cellIs" dxfId="133" priority="186" operator="equal">
      <formula>"En servicio"</formula>
    </cfRule>
  </conditionalFormatting>
  <conditionalFormatting sqref="AB148">
    <cfRule type="cellIs" dxfId="132" priority="185" operator="equal">
      <formula>"En servicio"</formula>
    </cfRule>
  </conditionalFormatting>
  <conditionalFormatting sqref="AB149">
    <cfRule type="cellIs" dxfId="131" priority="184" operator="equal">
      <formula>"En servicio"</formula>
    </cfRule>
  </conditionalFormatting>
  <conditionalFormatting sqref="AB144">
    <cfRule type="cellIs" dxfId="130" priority="183" operator="equal">
      <formula>"En servicio"</formula>
    </cfRule>
  </conditionalFormatting>
  <conditionalFormatting sqref="AB150">
    <cfRule type="cellIs" dxfId="129" priority="182" operator="equal">
      <formula>"En servicio"</formula>
    </cfRule>
  </conditionalFormatting>
  <conditionalFormatting sqref="AC149">
    <cfRule type="cellIs" dxfId="128" priority="180" operator="equal">
      <formula>"Pendiente electrónica"</formula>
    </cfRule>
    <cfRule type="cellIs" dxfId="127" priority="181" operator="equal">
      <formula>"OK PUENTES"</formula>
    </cfRule>
  </conditionalFormatting>
  <conditionalFormatting sqref="AC150:AC151">
    <cfRule type="cellIs" dxfId="126" priority="178" operator="equal">
      <formula>"Pendiente electrónica"</formula>
    </cfRule>
    <cfRule type="cellIs" dxfId="125" priority="179" operator="equal">
      <formula>"OK PUENTES"</formula>
    </cfRule>
  </conditionalFormatting>
  <conditionalFormatting sqref="AB151">
    <cfRule type="cellIs" dxfId="124" priority="177" operator="equal">
      <formula>"En servicio"</formula>
    </cfRule>
  </conditionalFormatting>
  <conditionalFormatting sqref="AC126:AC127">
    <cfRule type="cellIs" dxfId="123" priority="175" operator="equal">
      <formula>"Pendiente electrónica"</formula>
    </cfRule>
    <cfRule type="cellIs" dxfId="122" priority="176" operator="equal">
      <formula>"OK PUENTES"</formula>
    </cfRule>
  </conditionalFormatting>
  <conditionalFormatting sqref="AB128">
    <cfRule type="cellIs" dxfId="121" priority="174" operator="equal">
      <formula>"En servicio"</formula>
    </cfRule>
  </conditionalFormatting>
  <conditionalFormatting sqref="AB116 AB118:AB119">
    <cfRule type="cellIs" dxfId="120" priority="173" operator="equal">
      <formula>"En servicio"</formula>
    </cfRule>
  </conditionalFormatting>
  <conditionalFormatting sqref="AB112">
    <cfRule type="cellIs" dxfId="119" priority="172" operator="equal">
      <formula>"En servicio"</formula>
    </cfRule>
  </conditionalFormatting>
  <conditionalFormatting sqref="AB113">
    <cfRule type="cellIs" dxfId="118" priority="171" operator="equal">
      <formula>"En servicio"</formula>
    </cfRule>
  </conditionalFormatting>
  <conditionalFormatting sqref="AB115">
    <cfRule type="cellIs" dxfId="117" priority="170" operator="equal">
      <formula>"En servicio"</formula>
    </cfRule>
  </conditionalFormatting>
  <conditionalFormatting sqref="AB114">
    <cfRule type="cellIs" dxfId="116" priority="169" operator="equal">
      <formula>"En servicio"</formula>
    </cfRule>
  </conditionalFormatting>
  <conditionalFormatting sqref="AB124">
    <cfRule type="cellIs" dxfId="115" priority="168" operator="equal">
      <formula>"En servicio"</formula>
    </cfRule>
  </conditionalFormatting>
  <conditionalFormatting sqref="AB126">
    <cfRule type="cellIs" dxfId="114" priority="167" operator="equal">
      <formula>"En servicio"</formula>
    </cfRule>
  </conditionalFormatting>
  <conditionalFormatting sqref="AB127">
    <cfRule type="cellIs" dxfId="113" priority="166" operator="equal">
      <formula>"En servicio"</formula>
    </cfRule>
  </conditionalFormatting>
  <conditionalFormatting sqref="AB117">
    <cfRule type="cellIs" dxfId="112" priority="165" operator="equal">
      <formula>"En servicio"</formula>
    </cfRule>
  </conditionalFormatting>
  <conditionalFormatting sqref="AC122:AC125">
    <cfRule type="cellIs" dxfId="111" priority="163" operator="equal">
      <formula>"Pendiente electrónica"</formula>
    </cfRule>
    <cfRule type="cellIs" dxfId="110" priority="164" operator="equal">
      <formula>"OK PUENTES"</formula>
    </cfRule>
  </conditionalFormatting>
  <conditionalFormatting sqref="AB120">
    <cfRule type="cellIs" dxfId="109" priority="162" operator="equal">
      <formula>"En servicio"</formula>
    </cfRule>
  </conditionalFormatting>
  <conditionalFormatting sqref="AB121">
    <cfRule type="cellIs" dxfId="108" priority="161" operator="equal">
      <formula>"En servicio"</formula>
    </cfRule>
  </conditionalFormatting>
  <conditionalFormatting sqref="AB122">
    <cfRule type="cellIs" dxfId="107" priority="160" operator="equal">
      <formula>"En servicio"</formula>
    </cfRule>
  </conditionalFormatting>
  <conditionalFormatting sqref="AB123">
    <cfRule type="cellIs" dxfId="106" priority="159" operator="equal">
      <formula>"En servicio"</formula>
    </cfRule>
  </conditionalFormatting>
  <conditionalFormatting sqref="AB125">
    <cfRule type="cellIs" dxfId="105" priority="158" operator="equal">
      <formula>"En servicio"</formula>
    </cfRule>
  </conditionalFormatting>
  <conditionalFormatting sqref="AB111">
    <cfRule type="cellIs" dxfId="104" priority="157" operator="equal">
      <formula>"En servicio"</formula>
    </cfRule>
  </conditionalFormatting>
  <conditionalFormatting sqref="AB107">
    <cfRule type="cellIs" dxfId="103" priority="156" operator="equal">
      <formula>"En servicio"</formula>
    </cfRule>
  </conditionalFormatting>
  <conditionalFormatting sqref="AB108">
    <cfRule type="cellIs" dxfId="102" priority="155" operator="equal">
      <formula>"En servicio"</formula>
    </cfRule>
  </conditionalFormatting>
  <conditionalFormatting sqref="AB110">
    <cfRule type="cellIs" dxfId="101" priority="154" operator="equal">
      <formula>"En servicio"</formula>
    </cfRule>
  </conditionalFormatting>
  <conditionalFormatting sqref="AB81 AB104 AB106 AB83:AB102">
    <cfRule type="cellIs" dxfId="100" priority="153" operator="equal">
      <formula>"En servicio"</formula>
    </cfRule>
  </conditionalFormatting>
  <conditionalFormatting sqref="AC103">
    <cfRule type="cellIs" dxfId="99" priority="151" operator="equal">
      <formula>"Pendiente electrónica"</formula>
    </cfRule>
    <cfRule type="cellIs" dxfId="98" priority="152" operator="equal">
      <formula>"OK PUENTES"</formula>
    </cfRule>
  </conditionalFormatting>
  <conditionalFormatting sqref="AB103">
    <cfRule type="cellIs" dxfId="97" priority="150" operator="equal">
      <formula>"En servicio"</formula>
    </cfRule>
  </conditionalFormatting>
  <conditionalFormatting sqref="AB105">
    <cfRule type="cellIs" dxfId="96" priority="149" operator="equal">
      <formula>"En servicio"</formula>
    </cfRule>
  </conditionalFormatting>
  <conditionalFormatting sqref="AB109">
    <cfRule type="cellIs" dxfId="95" priority="148" operator="equal">
      <formula>"En servicio"</formula>
    </cfRule>
  </conditionalFormatting>
  <conditionalFormatting sqref="AB82">
    <cfRule type="cellIs" dxfId="94" priority="126" operator="equal">
      <formula>"En servicio"</formula>
    </cfRule>
  </conditionalFormatting>
  <conditionalFormatting sqref="AB79">
    <cfRule type="cellIs" dxfId="93" priority="124" operator="equal">
      <formula>"En servicio"</formula>
    </cfRule>
  </conditionalFormatting>
  <conditionalFormatting sqref="AB80">
    <cfRule type="cellIs" dxfId="92" priority="123" operator="equal">
      <formula>"En servicio"</formula>
    </cfRule>
  </conditionalFormatting>
  <conditionalFormatting sqref="N713 N709:P712 M709:M713 S638 Q525:R528 Q524 Q529:Q531 Q532:R584 R471:R473 Q585:Q615 Q474:R523 M79:AC348 Q385:R470 S385:T637 M385:P708 M714:N735 O713:P735 U385:AC759 W760:AC852 U760:U852 Q616:R852 M736:P852 V761:V852 S639:T852">
    <cfRule type="expression" dxfId="91" priority="92">
      <formula>ROW()=CELL("row")</formula>
    </cfRule>
  </conditionalFormatting>
  <conditionalFormatting sqref="R524">
    <cfRule type="duplicateValues" dxfId="90" priority="85"/>
  </conditionalFormatting>
  <conditionalFormatting sqref="R524">
    <cfRule type="duplicateValues" dxfId="89" priority="86"/>
    <cfRule type="duplicateValues" dxfId="88" priority="87"/>
  </conditionalFormatting>
  <conditionalFormatting sqref="R524">
    <cfRule type="duplicateValues" dxfId="87" priority="88"/>
  </conditionalFormatting>
  <conditionalFormatting sqref="R524">
    <cfRule type="duplicateValues" dxfId="86" priority="81"/>
  </conditionalFormatting>
  <conditionalFormatting sqref="R524">
    <cfRule type="duplicateValues" dxfId="85" priority="82"/>
    <cfRule type="duplicateValues" dxfId="84" priority="83"/>
  </conditionalFormatting>
  <conditionalFormatting sqref="R524">
    <cfRule type="duplicateValues" dxfId="83" priority="84"/>
  </conditionalFormatting>
  <conditionalFormatting sqref="R524">
    <cfRule type="duplicateValues" dxfId="82" priority="80"/>
  </conditionalFormatting>
  <conditionalFormatting sqref="R524">
    <cfRule type="duplicateValues" dxfId="81" priority="89"/>
  </conditionalFormatting>
  <conditionalFormatting sqref="R524">
    <cfRule type="duplicateValues" dxfId="80" priority="79"/>
  </conditionalFormatting>
  <conditionalFormatting sqref="R529:R530">
    <cfRule type="duplicateValues" dxfId="79" priority="74"/>
  </conditionalFormatting>
  <conditionalFormatting sqref="R529:R530">
    <cfRule type="duplicateValues" dxfId="78" priority="75"/>
    <cfRule type="duplicateValues" dxfId="77" priority="76"/>
  </conditionalFormatting>
  <conditionalFormatting sqref="R529:R530">
    <cfRule type="duplicateValues" dxfId="76" priority="77"/>
  </conditionalFormatting>
  <conditionalFormatting sqref="R529:R530">
    <cfRule type="duplicateValues" dxfId="75" priority="70"/>
  </conditionalFormatting>
  <conditionalFormatting sqref="R529:R530">
    <cfRule type="duplicateValues" dxfId="74" priority="71"/>
    <cfRule type="duplicateValues" dxfId="73" priority="72"/>
  </conditionalFormatting>
  <conditionalFormatting sqref="R529:R530">
    <cfRule type="duplicateValues" dxfId="72" priority="73"/>
  </conditionalFormatting>
  <conditionalFormatting sqref="R529:R530">
    <cfRule type="duplicateValues" dxfId="71" priority="69"/>
  </conditionalFormatting>
  <conditionalFormatting sqref="R529:R530">
    <cfRule type="duplicateValues" dxfId="70" priority="78"/>
  </conditionalFormatting>
  <conditionalFormatting sqref="R529:R530">
    <cfRule type="duplicateValues" dxfId="69" priority="68"/>
  </conditionalFormatting>
  <conditionalFormatting sqref="R531">
    <cfRule type="duplicateValues" dxfId="68" priority="63"/>
  </conditionalFormatting>
  <conditionalFormatting sqref="R531">
    <cfRule type="duplicateValues" dxfId="67" priority="64"/>
    <cfRule type="duplicateValues" dxfId="66" priority="65"/>
  </conditionalFormatting>
  <conditionalFormatting sqref="R531">
    <cfRule type="duplicateValues" dxfId="65" priority="66"/>
  </conditionalFormatting>
  <conditionalFormatting sqref="R531">
    <cfRule type="duplicateValues" dxfId="64" priority="59"/>
  </conditionalFormatting>
  <conditionalFormatting sqref="R531">
    <cfRule type="duplicateValues" dxfId="63" priority="60"/>
    <cfRule type="duplicateValues" dxfId="62" priority="61"/>
  </conditionalFormatting>
  <conditionalFormatting sqref="R531">
    <cfRule type="duplicateValues" dxfId="61" priority="62"/>
  </conditionalFormatting>
  <conditionalFormatting sqref="R531">
    <cfRule type="duplicateValues" dxfId="60" priority="58"/>
  </conditionalFormatting>
  <conditionalFormatting sqref="R531">
    <cfRule type="duplicateValues" dxfId="59" priority="67"/>
  </conditionalFormatting>
  <conditionalFormatting sqref="R531">
    <cfRule type="duplicateValues" dxfId="58" priority="57"/>
  </conditionalFormatting>
  <conditionalFormatting sqref="Q471:Q473">
    <cfRule type="expression" dxfId="57" priority="56">
      <formula>ROW()=CELL("row")</formula>
    </cfRule>
  </conditionalFormatting>
  <conditionalFormatting sqref="R585:R593 R595:R615">
    <cfRule type="expression" dxfId="56" priority="53">
      <formula>ROW()=CELL("row")</formula>
    </cfRule>
  </conditionalFormatting>
  <conditionalFormatting sqref="R585:R593 R595:R615">
    <cfRule type="duplicateValues" dxfId="55" priority="54"/>
  </conditionalFormatting>
  <conditionalFormatting sqref="R585:R593 R595:R615">
    <cfRule type="duplicateValues" dxfId="54" priority="55"/>
  </conditionalFormatting>
  <conditionalFormatting sqref="R594">
    <cfRule type="expression" dxfId="53" priority="50">
      <formula>ROW()=CELL("row")</formula>
    </cfRule>
  </conditionalFormatting>
  <conditionalFormatting sqref="R594">
    <cfRule type="duplicateValues" dxfId="52" priority="51"/>
  </conditionalFormatting>
  <conditionalFormatting sqref="R594">
    <cfRule type="duplicateValues" dxfId="51" priority="52"/>
  </conditionalFormatting>
  <conditionalFormatting sqref="AC349:AC384">
    <cfRule type="cellIs" dxfId="50" priority="46" operator="equal">
      <formula>"Pendiente electrónica"</formula>
    </cfRule>
    <cfRule type="cellIs" dxfId="49" priority="47" operator="equal">
      <formula>"OK PUENTES"</formula>
    </cfRule>
  </conditionalFormatting>
  <conditionalFormatting sqref="N349:N384 W349:AA384 AC349:AC384 Q349:U384">
    <cfRule type="expression" dxfId="48" priority="45">
      <formula>ROW()=CELL("row")</formula>
    </cfRule>
  </conditionalFormatting>
  <conditionalFormatting sqref="R349:R384">
    <cfRule type="duplicateValues" dxfId="47" priority="48"/>
  </conditionalFormatting>
  <conditionalFormatting sqref="R349:R384">
    <cfRule type="duplicateValues" dxfId="46" priority="49"/>
  </conditionalFormatting>
  <conditionalFormatting sqref="V349:V384">
    <cfRule type="expression" dxfId="45" priority="44">
      <formula>ROW()=CELL("row")</formula>
    </cfRule>
  </conditionalFormatting>
  <conditionalFormatting sqref="AB350:AB384">
    <cfRule type="cellIs" dxfId="44" priority="43" operator="equal">
      <formula>"En servicio"</formula>
    </cfRule>
  </conditionalFormatting>
  <conditionalFormatting sqref="AB350:AB384">
    <cfRule type="expression" dxfId="43" priority="42">
      <formula>ROW()=CELL("row")</formula>
    </cfRule>
  </conditionalFormatting>
  <conditionalFormatting sqref="AB349">
    <cfRule type="cellIs" dxfId="42" priority="41" operator="equal">
      <formula>"En servicio"</formula>
    </cfRule>
  </conditionalFormatting>
  <conditionalFormatting sqref="AB349">
    <cfRule type="expression" dxfId="41" priority="40">
      <formula>ROW()=CELL("row")</formula>
    </cfRule>
  </conditionalFormatting>
  <conditionalFormatting sqref="O349:P384">
    <cfRule type="expression" dxfId="40" priority="39">
      <formula>ROW()=CELL("row")</formula>
    </cfRule>
  </conditionalFormatting>
  <conditionalFormatting sqref="M349:M384">
    <cfRule type="expression" dxfId="39" priority="38">
      <formula>ROW()=CELL("row")</formula>
    </cfRule>
  </conditionalFormatting>
  <conditionalFormatting sqref="V760">
    <cfRule type="expression" dxfId="38" priority="37">
      <formula>ROW()=CELL("row")</formula>
    </cfRule>
  </conditionalFormatting>
  <conditionalFormatting sqref="R525:R528 R79:R348 R532:R584 R385:R523 R616:R852">
    <cfRule type="duplicateValues" dxfId="37" priority="201"/>
  </conditionalFormatting>
  <conditionalFormatting sqref="R525:R528 R79:R348 R532:R584 R385:R523 R616:R852">
    <cfRule type="duplicateValues" dxfId="36" priority="202"/>
  </conditionalFormatting>
  <conditionalFormatting sqref="AB76:AB78 AB60:AB74">
    <cfRule type="cellIs" dxfId="35" priority="36" operator="equal">
      <formula>"En servicio"</formula>
    </cfRule>
  </conditionalFormatting>
  <conditionalFormatting sqref="AC76:AC78 AC60:AC74">
    <cfRule type="cellIs" dxfId="34" priority="34" operator="equal">
      <formula>"Pendiente electrónica"</formula>
    </cfRule>
    <cfRule type="cellIs" dxfId="33" priority="35" operator="equal">
      <formula>"OK PUENTES"</formula>
    </cfRule>
  </conditionalFormatting>
  <conditionalFormatting sqref="AB76:AC78 M75:AA78 M60:AC74">
    <cfRule type="expression" dxfId="30" priority="29">
      <formula>ROW()=CELL("row")</formula>
    </cfRule>
  </conditionalFormatting>
  <conditionalFormatting sqref="R60:R78">
    <cfRule type="duplicateValues" dxfId="29" priority="30"/>
  </conditionalFormatting>
  <conditionalFormatting sqref="R60:R78">
    <cfRule type="duplicateValues" dxfId="28" priority="31"/>
  </conditionalFormatting>
  <conditionalFormatting sqref="AB75">
    <cfRule type="cellIs" dxfId="27" priority="28" operator="equal">
      <formula>"En servicio"</formula>
    </cfRule>
  </conditionalFormatting>
  <conditionalFormatting sqref="AC75">
    <cfRule type="cellIs" dxfId="26" priority="26" operator="equal">
      <formula>"Pendiente electrónica"</formula>
    </cfRule>
    <cfRule type="cellIs" dxfId="25" priority="27" operator="equal">
      <formula>"OK PUENTES"</formula>
    </cfRule>
  </conditionalFormatting>
  <conditionalFormatting sqref="AB75:AC75">
    <cfRule type="expression" dxfId="24" priority="25">
      <formula>ROW()=CELL("row")</formula>
    </cfRule>
  </conditionalFormatting>
  <conditionalFormatting sqref="AB58:AB59 AB1:AB56">
    <cfRule type="cellIs" dxfId="11" priority="12" operator="equal">
      <formula>"En servicio"</formula>
    </cfRule>
  </conditionalFormatting>
  <conditionalFormatting sqref="AC58:AD59 AD57 AC1:AD56">
    <cfRule type="cellIs" dxfId="10" priority="10" operator="equal">
      <formula>"Pendiente electrónica"</formula>
    </cfRule>
    <cfRule type="cellIs" dxfId="9" priority="11" operator="equal">
      <formula>"OK PUENTES"</formula>
    </cfRule>
  </conditionalFormatting>
  <conditionalFormatting sqref="R1">
    <cfRule type="duplicateValues" dxfId="8" priority="9"/>
  </conditionalFormatting>
  <conditionalFormatting sqref="Q1">
    <cfRule type="duplicateValues" dxfId="7" priority="8"/>
  </conditionalFormatting>
  <conditionalFormatting sqref="AB59:AE59 M57:AA59 AB58:AC58 AD57:AE58 M2:AE56">
    <cfRule type="expression" dxfId="6" priority="5">
      <formula>ROW()=CELL("row")</formula>
    </cfRule>
  </conditionalFormatting>
  <conditionalFormatting sqref="R2:R59">
    <cfRule type="duplicateValues" dxfId="5" priority="6"/>
  </conditionalFormatting>
  <conditionalFormatting sqref="R2:R59">
    <cfRule type="duplicateValues" dxfId="4" priority="7"/>
  </conditionalFormatting>
  <conditionalFormatting sqref="AB57">
    <cfRule type="cellIs" dxfId="3" priority="4" operator="equal">
      <formula>"En servicio"</formula>
    </cfRule>
  </conditionalFormatting>
  <conditionalFormatting sqref="AC57">
    <cfRule type="cellIs" dxfId="2" priority="2" operator="equal">
      <formula>"Pendiente electrónica"</formula>
    </cfRule>
    <cfRule type="cellIs" dxfId="1" priority="3" operator="equal">
      <formula>"OK PUENTES"</formula>
    </cfRule>
  </conditionalFormatting>
  <conditionalFormatting sqref="AB57:AC57">
    <cfRule type="expression" dxfId="0" priority="1">
      <formula>ROW()=CELL("row")</formula>
    </cfRule>
  </conditionalFormatting>
  <hyperlinks>
    <hyperlink ref="B2" r:id="rId1" display="https://sgs.intranet.rednoroeste.com/serproveedoratender.php?cve=2359625"/>
    <hyperlink ref="B3" r:id="rId2" display="https://sgs.intranet.rednoroeste.com/serproveedoratender.php?cve=2359218"/>
    <hyperlink ref="B5" r:id="rId3" display="https://sgs.intranet.rednoroeste.com/serproveedoratender.php?cve=2359622"/>
    <hyperlink ref="B6" r:id="rId4" display="https://sgs.intranet.rednoroeste.com/serproveedoratender.php?cve=2359619"/>
    <hyperlink ref="B7" r:id="rId5" display="https://sgs.intranet.rednoroeste.com/serproveedoratender.php?cve=2350072"/>
    <hyperlink ref="B8" r:id="rId6" display="https://sgs.intranet.rednoroeste.com/serproveedoratender.php?cve=2359615"/>
    <hyperlink ref="B9" r:id="rId7" display="https://sgs.intranet.rednoroeste.com/serproveedoratender.php?cve=2359608"/>
    <hyperlink ref="B10" r:id="rId8" display="https://sgs.intranet.rednoroeste.com/serproveedoratender.php?cve=2359612"/>
    <hyperlink ref="B11" r:id="rId9" display="https://sgs.intranet.rednoroeste.com/serproveedoratender.php?cve=2359605"/>
    <hyperlink ref="B12" r:id="rId10" display="https://sgs.intranet.rednoroeste.com/serproveedoratender.php?cve=2359602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Ramirez Andrade</dc:creator>
  <cp:lastModifiedBy>Christian Rojas Cedillo</cp:lastModifiedBy>
  <cp:lastPrinted>2026-01-06T19:32:50Z</cp:lastPrinted>
  <dcterms:created xsi:type="dcterms:W3CDTF">2025-12-18T16:05:59Z</dcterms:created>
  <dcterms:modified xsi:type="dcterms:W3CDTF">2026-01-28T18:12:09Z</dcterms:modified>
</cp:coreProperties>
</file>